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rto\Desktop\"/>
    </mc:Choice>
  </mc:AlternateContent>
  <bookViews>
    <workbookView xWindow="0" yWindow="0" windowWidth="20490" windowHeight="6165" tabRatio="814"/>
  </bookViews>
  <sheets>
    <sheet name="Launchpad" sheetId="1" r:id="rId1"/>
    <sheet name="Energy Equation" sheetId="8" r:id="rId2"/>
    <sheet name="Concentrations" sheetId="4" r:id="rId3"/>
    <sheet name="Cp,Enthalpy,Entropy Calculation" sheetId="6" r:id="rId4"/>
    <sheet name="Enthalpy Calculations" sheetId="5" state="hidden" r:id="rId5"/>
    <sheet name="Kp Calculations" sheetId="3" r:id="rId6"/>
    <sheet name="Results" sheetId="9" r:id="rId7"/>
    <sheet name="Plot for Pressure variation" sheetId="12" r:id="rId8"/>
    <sheet name="JANAF Tables" sheetId="2" state="hidden" r:id="rId9"/>
  </sheets>
  <functionGroups builtInGroupCount="18"/>
  <definedNames>
    <definedName name="H" localSheetId="8">'JANAF Tables'!$T$4:$AA$70</definedName>
    <definedName name="H2_1" localSheetId="8">'JANAF Tables'!$BD$4:$BK$70</definedName>
    <definedName name="H20_" localSheetId="8">'JANAF Tables'!$B$4:$I$67</definedName>
    <definedName name="N2_" localSheetId="8">'JANAF Tables'!$BM$4:$BT$70</definedName>
    <definedName name="NO" localSheetId="8">'JANAF Tables'!$K$4:$R$70</definedName>
    <definedName name="O" localSheetId="8">'JANAF Tables'!#REF!</definedName>
    <definedName name="O_1" localSheetId="8">'JANAF Tables'!$AC$4:$AJ$70</definedName>
    <definedName name="O2_" localSheetId="8">'JANAF Tables'!$AU$4:$BB$70</definedName>
    <definedName name="OH" localSheetId="8">'JANAF Tables'!$AL$4:$AS$70</definedName>
    <definedName name="_xlnm.Print_Area" localSheetId="2">Concentrations!$A$1:$O$27</definedName>
    <definedName name="_xlnm.Print_Area" localSheetId="0">Launchpad!$A$1:$L$541</definedName>
    <definedName name="solver_adj" localSheetId="2" hidden="1">Concentrations!$E$6:$E$13</definedName>
    <definedName name="solver_adj" localSheetId="4" hidden="1">'Enthalpy Calculations'!$H$14</definedName>
    <definedName name="solver_cvg" localSheetId="2" hidden="1">0.00001</definedName>
    <definedName name="solver_cvg" localSheetId="4" hidden="1">0.0001</definedName>
    <definedName name="solver_drv" localSheetId="2" hidden="1">2</definedName>
    <definedName name="solver_drv" localSheetId="4" hidden="1">1</definedName>
    <definedName name="solver_eng" localSheetId="2" hidden="1">1</definedName>
    <definedName name="solver_eng" localSheetId="4" hidden="1">2</definedName>
    <definedName name="solver_est" localSheetId="2" hidden="1">1</definedName>
    <definedName name="solver_est" localSheetId="4" hidden="1">1</definedName>
    <definedName name="solver_itr" localSheetId="2" hidden="1">2147483647</definedName>
    <definedName name="solver_itr" localSheetId="4" hidden="1">2147483647</definedName>
    <definedName name="solver_lhs1" localSheetId="2" hidden="1">Concentrations!$E$6:$E$13</definedName>
    <definedName name="solver_mip" localSheetId="2" hidden="1">2147483647</definedName>
    <definedName name="solver_mip" localSheetId="4" hidden="1">2147483647</definedName>
    <definedName name="solver_mni" localSheetId="2" hidden="1">30</definedName>
    <definedName name="solver_mni" localSheetId="4" hidden="1">30</definedName>
    <definedName name="solver_mrt" localSheetId="2" hidden="1">0.075</definedName>
    <definedName name="solver_mrt" localSheetId="4" hidden="1">0.075</definedName>
    <definedName name="solver_msl" localSheetId="2" hidden="1">2</definedName>
    <definedName name="solver_msl" localSheetId="4" hidden="1">2</definedName>
    <definedName name="solver_neg" localSheetId="2" hidden="1">1</definedName>
    <definedName name="solver_neg" localSheetId="4" hidden="1">1</definedName>
    <definedName name="solver_nod" localSheetId="2" hidden="1">2147483647</definedName>
    <definedName name="solver_nod" localSheetId="4" hidden="1">2147483647</definedName>
    <definedName name="solver_num" localSheetId="2" hidden="1">1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Concentrations!$E$26</definedName>
    <definedName name="solver_opt" localSheetId="4" hidden="1">'Enthalpy Calculations'!$C$29</definedName>
    <definedName name="solver_pre" localSheetId="2" hidden="1">0.00000001</definedName>
    <definedName name="solver_pre" localSheetId="4" hidden="1">0.000001</definedName>
    <definedName name="solver_rbv" localSheetId="2" hidden="1">1</definedName>
    <definedName name="solver_rbv" localSheetId="4" hidden="1">1</definedName>
    <definedName name="solver_rel1" localSheetId="2" hidden="1">3</definedName>
    <definedName name="solver_rhs1" localSheetId="2" hidden="1">0.00000001</definedName>
    <definedName name="solver_rlx" localSheetId="2" hidden="1">2</definedName>
    <definedName name="solver_rlx" localSheetId="4" hidden="1">2</definedName>
    <definedName name="solver_rsd" localSheetId="2" hidden="1">0</definedName>
    <definedName name="solver_rsd" localSheetId="4" hidden="1">0</definedName>
    <definedName name="solver_scl" localSheetId="2" hidden="1">1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2" hidden="1">10000000000000000</definedName>
    <definedName name="solver_ssz" localSheetId="4" hidden="1">100</definedName>
    <definedName name="solver_tim" localSheetId="2" hidden="1">2147483647</definedName>
    <definedName name="solver_tim" localSheetId="4" hidden="1">2147483647</definedName>
    <definedName name="solver_tol" localSheetId="2" hidden="1">0.01</definedName>
    <definedName name="solver_tol" localSheetId="4" hidden="1">0.01</definedName>
    <definedName name="solver_typ" localSheetId="2" hidden="1">3</definedName>
    <definedName name="solver_typ" localSheetId="4" hidden="1">3</definedName>
    <definedName name="solver_val" localSheetId="2" hidden="1">0</definedName>
    <definedName name="solver_val" localSheetId="4" hidden="1">0</definedName>
    <definedName name="solver_ver" localSheetId="2" hidden="1">3</definedName>
    <definedName name="solver_ver" localSheetId="4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H37" i="1"/>
  <c r="L6" i="6"/>
  <c r="L10" i="6"/>
  <c r="L5" i="6"/>
  <c r="L11" i="6"/>
  <c r="L13" i="6"/>
  <c r="L8" i="6"/>
  <c r="L9" i="6"/>
  <c r="L12" i="6"/>
  <c r="L7" i="6"/>
  <c r="M5" i="6"/>
  <c r="M6" i="6"/>
  <c r="M9" i="9" l="1"/>
  <c r="L10" i="9"/>
  <c r="L11" i="9"/>
  <c r="L12" i="9"/>
  <c r="L13" i="9"/>
  <c r="L14" i="9"/>
  <c r="L15" i="9"/>
  <c r="L9" i="9"/>
  <c r="K10" i="9"/>
  <c r="K11" i="9"/>
  <c r="K12" i="9"/>
  <c r="K13" i="9"/>
  <c r="K14" i="9"/>
  <c r="K15" i="9"/>
  <c r="K9" i="9"/>
  <c r="H5" i="4" l="1"/>
  <c r="H4" i="4"/>
  <c r="E14" i="4"/>
  <c r="D23" i="4"/>
  <c r="E23" i="4" s="1"/>
  <c r="D24" i="4"/>
  <c r="E24" i="4" s="1"/>
  <c r="D25" i="4"/>
  <c r="E25" i="4" s="1"/>
  <c r="L25" i="6"/>
  <c r="N25" i="6"/>
  <c r="N19" i="6"/>
  <c r="N26" i="6"/>
  <c r="N23" i="6"/>
  <c r="M20" i="6"/>
  <c r="L21" i="6"/>
  <c r="L22" i="6"/>
  <c r="N20" i="6"/>
  <c r="M24" i="6"/>
  <c r="N22" i="6"/>
  <c r="N24" i="6"/>
  <c r="C10" i="5"/>
  <c r="L20" i="6"/>
  <c r="M21" i="6"/>
  <c r="M27" i="6"/>
  <c r="L19" i="6"/>
  <c r="C8" i="5"/>
  <c r="N21" i="6"/>
  <c r="M23" i="6"/>
  <c r="M19" i="6"/>
  <c r="N27" i="6"/>
  <c r="L24" i="6"/>
  <c r="M26" i="6"/>
  <c r="M25" i="6"/>
  <c r="L27" i="6"/>
  <c r="L26" i="6"/>
  <c r="L23" i="6"/>
  <c r="M22" i="6"/>
  <c r="C9" i="5"/>
  <c r="C24" i="5"/>
  <c r="C18" i="5"/>
  <c r="C20" i="5"/>
  <c r="C21" i="5"/>
  <c r="C22" i="5"/>
  <c r="C19" i="5"/>
  <c r="C23" i="5"/>
  <c r="C17" i="5"/>
  <c r="M7" i="6"/>
  <c r="N8" i="6"/>
  <c r="N12" i="6"/>
  <c r="N13" i="6"/>
  <c r="N6" i="6"/>
  <c r="N9" i="6"/>
  <c r="M10" i="6"/>
  <c r="N11" i="6"/>
  <c r="N5" i="6"/>
  <c r="M11" i="6"/>
  <c r="M12" i="6"/>
  <c r="M9" i="6"/>
  <c r="M13" i="6"/>
  <c r="M8" i="6"/>
  <c r="N7" i="6"/>
  <c r="N10" i="6"/>
  <c r="D23" i="8" l="1"/>
  <c r="D16" i="8"/>
  <c r="D15" i="8"/>
  <c r="C8" i="8"/>
  <c r="O27" i="6"/>
  <c r="O13" i="6"/>
  <c r="P19" i="6"/>
  <c r="O19" i="6"/>
  <c r="P23" i="6"/>
  <c r="O23" i="6"/>
  <c r="O20" i="6"/>
  <c r="P20" i="6"/>
  <c r="O24" i="6"/>
  <c r="O25" i="6"/>
  <c r="O26" i="6"/>
  <c r="O21" i="6"/>
  <c r="P21" i="6"/>
  <c r="P22" i="6"/>
  <c r="O22" i="6"/>
  <c r="D19" i="8"/>
  <c r="D22" i="8"/>
  <c r="D18" i="8"/>
  <c r="D21" i="8"/>
  <c r="D17" i="8"/>
  <c r="D20" i="8"/>
  <c r="P5" i="6"/>
  <c r="C6" i="3" s="1"/>
  <c r="D18" i="4" s="1"/>
  <c r="E18" i="4" s="1"/>
  <c r="O5" i="6"/>
  <c r="P9" i="6"/>
  <c r="C10" i="3" s="1"/>
  <c r="D22" i="4" s="1"/>
  <c r="E22" i="4" s="1"/>
  <c r="O9" i="6"/>
  <c r="O12" i="6"/>
  <c r="P8" i="6"/>
  <c r="C9" i="3" s="1"/>
  <c r="D21" i="4" s="1"/>
  <c r="E21" i="4" s="1"/>
  <c r="O8" i="6"/>
  <c r="O11" i="6"/>
  <c r="O7" i="6"/>
  <c r="P7" i="6"/>
  <c r="C8" i="3" s="1"/>
  <c r="D20" i="4" s="1"/>
  <c r="E20" i="4" s="1"/>
  <c r="O10" i="6"/>
  <c r="P6" i="6"/>
  <c r="C7" i="3" s="1"/>
  <c r="D19" i="4" s="1"/>
  <c r="E19" i="4" s="1"/>
  <c r="O6" i="6"/>
  <c r="C11" i="5"/>
  <c r="H16" i="5"/>
  <c r="E26" i="4" l="1"/>
  <c r="D24" i="8"/>
  <c r="D26" i="8" s="1"/>
  <c r="D29" i="8" s="1"/>
  <c r="C26" i="5"/>
  <c r="G36" i="1" l="1"/>
  <c r="G35" i="1"/>
  <c r="G34" i="1"/>
  <c r="G33" i="1"/>
  <c r="G32" i="1"/>
  <c r="G31" i="1"/>
  <c r="G30" i="1"/>
  <c r="C29" i="5" l="1"/>
  <c r="F29" i="1"/>
  <c r="F30" i="1"/>
  <c r="F32" i="1"/>
  <c r="F33" i="1"/>
  <c r="F31" i="1"/>
</calcChain>
</file>

<file path=xl/connections.xml><?xml version="1.0" encoding="utf-8"?>
<connections xmlns="http://schemas.openxmlformats.org/spreadsheetml/2006/main">
  <connection id="1" name="H2" type="6" refreshedVersion="5" background="1" saveData="1">
    <textPr codePage="437" sourceFile="C:\Users\Perto\Desktop\Kinetics Project\H2.txt">
      <textFields>
        <textField/>
      </textFields>
    </textPr>
  </connection>
  <connection id="2" name="H20" type="6" refreshedVersion="5" background="1" saveData="1">
    <textPr codePage="437" sourceFile="C:\Users\Perto\Desktop\Kinetics Project\H20.txt">
      <textFields>
        <textField/>
      </textFields>
    </textPr>
  </connection>
  <connection id="3" name="N2" type="6" refreshedVersion="5" background="1" saveData="1">
    <textPr codePage="437" sourceFile="C:\Users\Perto\Desktop\Kinetics Project\N2.txt">
      <textFields>
        <textField/>
      </textFields>
    </textPr>
  </connection>
  <connection id="4" name="NO" type="6" refreshedVersion="5" background="1" saveData="1">
    <textPr codePage="437" sourceFile="C:\Users\Perto\Desktop\Kinetics Project\NO.txt">
      <textFields>
        <textField/>
      </textFields>
    </textPr>
  </connection>
  <connection id="5" name="O1" type="6" refreshedVersion="5" background="1" saveData="1">
    <textPr codePage="437" sourceFile="C:\Users\Perto\Desktop\Kinetics Project\O.txt">
      <textFields>
        <textField/>
      </textFields>
    </textPr>
  </connection>
  <connection id="6" name="O2" type="6" refreshedVersion="5" background="1" saveData="1">
    <textPr codePage="437" sourceFile="C:\Users\Perto\Desktop\Kinetics Project\O2.txt">
      <textFields>
        <textField/>
      </textFields>
    </textPr>
  </connection>
  <connection id="7" name="OH" type="6" refreshedVersion="5" background="1" saveData="1">
    <textPr codePage="437" sourceFile="C:\Users\Perto\Desktop\Kinetics Project\OH.txt">
      <textFields>
        <textField/>
      </textFields>
    </textPr>
  </connection>
</connections>
</file>

<file path=xl/sharedStrings.xml><?xml version="1.0" encoding="utf-8"?>
<sst xmlns="http://schemas.openxmlformats.org/spreadsheetml/2006/main" count="341" uniqueCount="145">
  <si>
    <t>Species</t>
  </si>
  <si>
    <t>NO</t>
  </si>
  <si>
    <t>OH</t>
  </si>
  <si>
    <t>H2</t>
  </si>
  <si>
    <t>O2</t>
  </si>
  <si>
    <t>O</t>
  </si>
  <si>
    <t>H</t>
  </si>
  <si>
    <t>a</t>
  </si>
  <si>
    <t>b</t>
  </si>
  <si>
    <t>c</t>
  </si>
  <si>
    <t>d</t>
  </si>
  <si>
    <t>e</t>
  </si>
  <si>
    <t>f</t>
  </si>
  <si>
    <t>g</t>
  </si>
  <si>
    <t>Gas Constant  R</t>
  </si>
  <si>
    <t>Kp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</si>
  <si>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</si>
  <si>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Pressure p</t>
  </si>
  <si>
    <t>Water (H2O)</t>
  </si>
  <si>
    <t>H2O1(g)</t>
  </si>
  <si>
    <t>T(K)</t>
  </si>
  <si>
    <t>Cp</t>
  </si>
  <si>
    <t>S</t>
  </si>
  <si>
    <t>-[G-H(Tr)]/T</t>
  </si>
  <si>
    <t>H-H(Tr)</t>
  </si>
  <si>
    <t>delta-f H</t>
  </si>
  <si>
    <t>delta-f G</t>
  </si>
  <si>
    <t>log Kf</t>
  </si>
  <si>
    <t>INFINITE</t>
  </si>
  <si>
    <t>Nitrogen Oxide (NO)</t>
  </si>
  <si>
    <t>N1O1(g)</t>
  </si>
  <si>
    <t>Hydrogen (H)</t>
  </si>
  <si>
    <t>H1(g)</t>
  </si>
  <si>
    <t>Oxygen (O)</t>
  </si>
  <si>
    <t>O1(g)</t>
  </si>
  <si>
    <t>Hydroxyl (OH)</t>
  </si>
  <si>
    <t>H1O1(g)</t>
  </si>
  <si>
    <t>Hydrogen (H2)</t>
  </si>
  <si>
    <t>H2(ref)</t>
  </si>
  <si>
    <t>Oxygen (O2)</t>
  </si>
  <si>
    <t>O2(ref)</t>
  </si>
  <si>
    <t>Kpa</t>
  </si>
  <si>
    <t>Kpb</t>
  </si>
  <si>
    <t>Kpc</t>
  </si>
  <si>
    <t>Kpd</t>
  </si>
  <si>
    <t>Kpe</t>
  </si>
  <si>
    <t>Kp Calculations</t>
  </si>
  <si>
    <t>h</t>
  </si>
  <si>
    <t>N2</t>
  </si>
  <si>
    <t>i</t>
  </si>
  <si>
    <t>Total</t>
  </si>
  <si>
    <t>Equivalence Ratio</t>
  </si>
  <si>
    <t>a1</t>
  </si>
  <si>
    <t>a2</t>
  </si>
  <si>
    <t>a3</t>
  </si>
  <si>
    <t>a5</t>
  </si>
  <si>
    <t>a4</t>
  </si>
  <si>
    <t>Enthalpy of Reactants</t>
  </si>
  <si>
    <t xml:space="preserve">Species </t>
  </si>
  <si>
    <t>Species Concentration</t>
  </si>
  <si>
    <t>Products</t>
  </si>
  <si>
    <t>Nitrogen (N2)</t>
  </si>
  <si>
    <t>N2(ref)</t>
  </si>
  <si>
    <t>Enthalpy of Products</t>
  </si>
  <si>
    <t>Sum</t>
  </si>
  <si>
    <t>Difference</t>
  </si>
  <si>
    <t>Mwt</t>
  </si>
  <si>
    <r>
      <t>T</t>
    </r>
    <r>
      <rPr>
        <vertAlign val="subscript"/>
        <sz val="11"/>
        <color theme="1"/>
        <rFont val="Calibri"/>
        <family val="2"/>
        <scheme val="minor"/>
      </rPr>
      <t>ref</t>
    </r>
  </si>
  <si>
    <r>
      <t>T</t>
    </r>
    <r>
      <rPr>
        <vertAlign val="subscript"/>
        <sz val="11"/>
        <color theme="1"/>
        <rFont val="Calibri"/>
        <family val="2"/>
        <scheme val="minor"/>
      </rPr>
      <t>fuel</t>
    </r>
  </si>
  <si>
    <r>
      <t>T</t>
    </r>
    <r>
      <rPr>
        <vertAlign val="subscript"/>
        <sz val="11"/>
        <color theme="1"/>
        <rFont val="Calibri"/>
        <family val="2"/>
        <scheme val="minor"/>
      </rPr>
      <t>air</t>
    </r>
  </si>
  <si>
    <t>-</t>
  </si>
  <si>
    <t>Kp Calculation for each species</t>
  </si>
  <si>
    <t>Enthalpy</t>
  </si>
  <si>
    <r>
      <t>T</t>
    </r>
    <r>
      <rPr>
        <vertAlign val="subscript"/>
        <sz val="11"/>
        <color theme="1"/>
        <rFont val="Calibri"/>
        <family val="2"/>
        <scheme val="minor"/>
      </rPr>
      <t>assumed</t>
    </r>
  </si>
  <si>
    <r>
      <t>This should equate to zero for T</t>
    </r>
    <r>
      <rPr>
        <vertAlign val="subscript"/>
        <sz val="11"/>
        <color theme="1"/>
        <rFont val="Calibri"/>
        <family val="2"/>
        <scheme val="minor"/>
      </rPr>
      <t xml:space="preserve">assumed </t>
    </r>
    <r>
      <rPr>
        <sz val="11"/>
        <color theme="1"/>
        <rFont val="Calibri"/>
        <family val="2"/>
        <scheme val="minor"/>
      </rPr>
      <t>= T</t>
    </r>
    <r>
      <rPr>
        <vertAlign val="subscript"/>
        <sz val="11"/>
        <color theme="1"/>
        <rFont val="Calibri"/>
        <family val="2"/>
        <scheme val="minor"/>
      </rPr>
      <t xml:space="preserve">initial </t>
    </r>
    <r>
      <rPr>
        <sz val="11"/>
        <color theme="1"/>
        <rFont val="Calibri"/>
        <family val="2"/>
        <scheme val="minor"/>
      </rPr>
      <t>to hold true</t>
    </r>
  </si>
  <si>
    <t xml:space="preserve">Guess for solving the linear equation </t>
  </si>
  <si>
    <t>a6</t>
  </si>
  <si>
    <t>a7</t>
  </si>
  <si>
    <t>Terror</t>
  </si>
  <si>
    <t>For Temperature Range &gt; 1000 K</t>
  </si>
  <si>
    <t>For Temperature Range &lt; 1000 K</t>
  </si>
  <si>
    <t>HRT</t>
  </si>
  <si>
    <t>SR</t>
  </si>
  <si>
    <r>
      <t>G</t>
    </r>
    <r>
      <rPr>
        <vertAlign val="superscript"/>
        <sz val="11"/>
        <color theme="1"/>
        <rFont val="Calibri"/>
        <family val="2"/>
        <scheme val="minor"/>
      </rPr>
      <t>o</t>
    </r>
  </si>
  <si>
    <t>Hreact</t>
  </si>
  <si>
    <t>Temperature Range &gt; 1000 K</t>
  </si>
  <si>
    <t>====================&gt;</t>
  </si>
  <si>
    <t>Temperature Range &lt; 1000 K</t>
  </si>
  <si>
    <t>Tad</t>
  </si>
  <si>
    <t>Without Neon; p = 20 atm</t>
  </si>
  <si>
    <t>Without Neon; p = 2 atm</t>
  </si>
  <si>
    <t>Ne</t>
  </si>
  <si>
    <t>Ne Concentration</t>
  </si>
  <si>
    <t xml:space="preserve">Ne Concentration required </t>
  </si>
  <si>
    <t>Pressure (atm)</t>
  </si>
  <si>
    <t>Tad (K)</t>
  </si>
  <si>
    <t>Tad at different Pressure values for Eq = 1</t>
  </si>
  <si>
    <t>Ne Concentration for phi = 1</t>
  </si>
  <si>
    <t>k</t>
  </si>
  <si>
    <t>Specie</t>
  </si>
  <si>
    <t>Concentration</t>
  </si>
  <si>
    <t>Error Terms</t>
  </si>
  <si>
    <t>Error Squared</t>
  </si>
  <si>
    <t>Total Square Error</t>
  </si>
  <si>
    <t>Should be zero for convergence</t>
  </si>
  <si>
    <t>n1</t>
  </si>
  <si>
    <t>n2</t>
  </si>
  <si>
    <t>n3</t>
  </si>
  <si>
    <t>n4</t>
  </si>
  <si>
    <t>n5</t>
  </si>
  <si>
    <t>n6</t>
  </si>
  <si>
    <t>n7</t>
  </si>
  <si>
    <t>n8</t>
  </si>
  <si>
    <t>Concentration Equation#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</si>
  <si>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 xml:space="preserve">H2 + 0.5 ( O2 + 3.76N2)  ------&gt;  aH2 + bNO + cH + dO + eOH + fO2 + gH2 + hN2 </t>
    </r>
  </si>
  <si>
    <t>p</t>
  </si>
  <si>
    <t>Variable</t>
  </si>
  <si>
    <t xml:space="preserve">n1 = Ln((d * (a + b + c + d + e + f + g + h) ^ 0.5) / (a * b ^ 0.5 * P ^ 0.5)) - Ln(Kpa(T))
n2 = Ln((e * P ^ 0.5) / (a ^ 0.5 * (a + b + c + d + e + f + g + h) ^ 0.5)) - Ln(Kpb(T))
n3 = Ln(g / (a ^ 0.5 * b ^ 0.5)) - Ln(Kpc(T))
n4 = Ln((f * (P ^ 0.5)) / (b ^ 0.5 * (a + b + c + d + e + f + g + h) ^ 0.5)) - Ln(Kpd(T))
n5 = Ln(h / (c ^ 0.5 * b ^ 0.5)) - Ln(Kpe(T))
n6 = 2 * a + 2 * d + e + g - 2 * phi
n7 = 2 * b + d + f + g + h - 1
n8 = 2 * c + h - 3.76
</t>
  </si>
  <si>
    <r>
      <t>chem</t>
    </r>
    <r>
      <rPr>
        <sz val="11"/>
        <color theme="0"/>
        <rFont val="AR BERKLEY"/>
      </rPr>
      <t>X</t>
    </r>
    <r>
      <rPr>
        <sz val="11"/>
        <color theme="0"/>
        <rFont val="Calibri"/>
        <family val="2"/>
        <scheme val="minor"/>
      </rPr>
      <t xml:space="preserve">                 Concentration Calculator</t>
    </r>
  </si>
  <si>
    <t>Value</t>
  </si>
  <si>
    <t>Units</t>
  </si>
  <si>
    <t>K</t>
  </si>
  <si>
    <t>J / K mol</t>
  </si>
  <si>
    <t>atm</t>
  </si>
  <si>
    <t>YES</t>
  </si>
  <si>
    <t>Additional Functions / Comments</t>
  </si>
  <si>
    <t>Interpretation</t>
  </si>
  <si>
    <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</si>
  <si>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</si>
  <si>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</si>
  <si>
    <t>Tad (Gaseq)</t>
  </si>
  <si>
    <t xml:space="preserve">Error </t>
  </si>
  <si>
    <t>error</t>
  </si>
  <si>
    <t>Avg Error %</t>
  </si>
  <si>
    <t>Total Enthalpy of products</t>
  </si>
  <si>
    <r>
      <rPr>
        <b/>
        <sz val="14"/>
        <color rgb="FFFFFF00"/>
        <rFont val="Verdana"/>
        <family val="2"/>
      </rPr>
      <t>chem</t>
    </r>
    <r>
      <rPr>
        <sz val="20"/>
        <color rgb="FFFFFF00"/>
        <rFont val="Confetti Stream"/>
      </rPr>
      <t xml:space="preserve">X </t>
    </r>
    <r>
      <rPr>
        <sz val="11"/>
        <color rgb="FFFFFF00"/>
        <rFont val="Calibri"/>
        <family val="2"/>
        <scheme val="minor"/>
      </rPr>
      <t xml:space="preserve">           </t>
    </r>
    <r>
      <rPr>
        <sz val="12"/>
        <color rgb="FFFFFF00"/>
        <rFont val="Felix Titling"/>
        <family val="5"/>
      </rPr>
      <t xml:space="preserve">Launchpad </t>
    </r>
  </si>
  <si>
    <r>
      <t>del G</t>
    </r>
    <r>
      <rPr>
        <vertAlign val="superscript"/>
        <sz val="11"/>
        <color theme="1"/>
        <rFont val="Calibri"/>
        <family val="2"/>
        <scheme val="minor"/>
      </rPr>
      <t>o</t>
    </r>
  </si>
  <si>
    <t>Neon addition to lower the Flame temperature for a given Equivalence ratio</t>
  </si>
  <si>
    <t>Hydrogen-Air Combustion :</t>
  </si>
  <si>
    <t xml:space="preserve">φH2 + 0.5 ( O2 + 3.76N2)  ------&gt;  aH2 + bNO + cH + dO + eOH + fO2 + gH2 + hN2 </t>
  </si>
  <si>
    <t>- User needs to input just the pressure and equivalence ratio at which adiabatic flame temperature is desired</t>
  </si>
  <si>
    <t>- The Ne switch can be adjusted ON or OFF in the launchpad (or the Energy Equation Module) and Ne concentration can be found out using the "Energy Equation" Module.</t>
  </si>
  <si>
    <t>- Concentrations module is a concentration calculator for different species listed in the above chemical reaction.</t>
  </si>
  <si>
    <t>Neon Switch</t>
  </si>
  <si>
    <t>VALIDATION OF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</si>
</sst>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00"/>
    <numFmt numFmtId="165" formatCode="0.00000000"/>
    <numFmt numFmtId="166" formatCode="0.0000"/>
  </numFmts>
  <fonts count="21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AR BERKLEY"/>
    </font>
    <font>
      <sz val="11"/>
      <color rgb="FFFFFF00"/>
      <name val="Calibri"/>
      <family val="2"/>
      <scheme val="minor"/>
    </font>
    <font>
      <b/>
      <sz val="14"/>
      <color rgb="FFFFFF00"/>
      <name val="Verdana"/>
      <family val="2"/>
    </font>
    <font>
      <sz val="20"/>
      <color rgb="FFFFFF00"/>
      <name val="Confetti Stream"/>
    </font>
    <font>
      <sz val="12"/>
      <color rgb="FFFFFF00"/>
      <name val="Felix Titling"/>
      <family val="5"/>
    </font>
    <font>
      <sz val="11"/>
      <color rgb="FF000000"/>
      <name val="Calibri"/>
      <family val="2"/>
    </font>
    <font>
      <i/>
      <sz val="11"/>
      <color rgb="FF339966"/>
      <name val="Broadway"/>
      <family val="5"/>
    </font>
    <font>
      <sz val="8"/>
      <color theme="1"/>
      <name val="Calibri"/>
      <family val="2"/>
    </font>
    <font>
      <sz val="11"/>
      <color rgb="FF008000"/>
      <name val="Lucida Bright"/>
      <family val="1"/>
    </font>
    <font>
      <sz val="11"/>
      <color rgb="FF008000"/>
      <name val="Calibri Light"/>
      <family val="2"/>
    </font>
    <font>
      <sz val="11"/>
      <color rgb="FFFF0000"/>
      <name val="Calibri Light"/>
      <family val="2"/>
    </font>
    <font>
      <sz val="11"/>
      <color rgb="FF002060"/>
      <name val="Eras Bold ITC"/>
      <family val="2"/>
    </font>
    <font>
      <sz val="11"/>
      <color rgb="FF002060"/>
      <name val="Calibri"/>
      <family val="2"/>
      <scheme val="minor"/>
    </font>
    <font>
      <sz val="11"/>
      <color rgb="FF339966"/>
      <name val="Lucida Console"/>
      <family val="3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521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44">
    <xf numFmtId="0" fontId="0" fillId="0" borderId="0" xfId="0"/>
    <xf numFmtId="0" fontId="0" fillId="0" borderId="0" xfId="0" applyAlignment="1">
      <alignment horizontal="center" vertical="center"/>
    </xf>
    <xf numFmtId="11" fontId="2" fillId="0" borderId="0" xfId="0" applyNumberFormat="1" applyFont="1" applyAlignment="1">
      <alignment vertic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8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166" fontId="0" fillId="0" borderId="0" xfId="0" applyNumberFormat="1"/>
    <xf numFmtId="166" fontId="0" fillId="0" borderId="6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19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6" fontId="0" fillId="0" borderId="8" xfId="0" applyNumberFormat="1" applyBorder="1" applyAlignment="1">
      <alignment vertical="center"/>
    </xf>
    <xf numFmtId="166" fontId="0" fillId="0" borderId="21" xfId="0" applyNumberFormat="1" applyBorder="1"/>
    <xf numFmtId="11" fontId="2" fillId="0" borderId="1" xfId="0" applyNumberFormat="1" applyFont="1" applyBorder="1" applyAlignment="1">
      <alignment horizontal="center" vertical="center"/>
    </xf>
    <xf numFmtId="11" fontId="2" fillId="0" borderId="6" xfId="0" applyNumberFormat="1" applyFont="1" applyBorder="1" applyAlignment="1">
      <alignment horizontal="center" vertical="center"/>
    </xf>
    <xf numFmtId="11" fontId="2" fillId="0" borderId="20" xfId="0" applyNumberFormat="1" applyFont="1" applyBorder="1" applyAlignment="1">
      <alignment horizontal="center" vertical="center"/>
    </xf>
    <xf numFmtId="11" fontId="2" fillId="0" borderId="8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3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1" fontId="2" fillId="0" borderId="27" xfId="0" applyNumberFormat="1" applyFont="1" applyBorder="1" applyAlignment="1">
      <alignment horizontal="center" vertical="center"/>
    </xf>
    <xf numFmtId="11" fontId="2" fillId="0" borderId="4" xfId="0" applyNumberFormat="1" applyFont="1" applyBorder="1" applyAlignment="1">
      <alignment horizontal="center" vertical="center"/>
    </xf>
    <xf numFmtId="0" fontId="0" fillId="2" borderId="15" xfId="0" applyFill="1" applyBorder="1"/>
    <xf numFmtId="0" fontId="0" fillId="2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1" fontId="2" fillId="0" borderId="2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Border="1"/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1" fontId="2" fillId="0" borderId="14" xfId="0" applyNumberFormat="1" applyFont="1" applyBorder="1" applyAlignment="1">
      <alignment horizontal="center" vertical="center"/>
    </xf>
    <xf numFmtId="11" fontId="2" fillId="0" borderId="19" xfId="0" applyNumberFormat="1" applyFont="1" applyBorder="1" applyAlignment="1">
      <alignment horizontal="center" vertical="center"/>
    </xf>
    <xf numFmtId="0" fontId="0" fillId="2" borderId="25" xfId="0" applyFill="1" applyBorder="1"/>
    <xf numFmtId="0" fontId="0" fillId="2" borderId="36" xfId="0" applyFill="1" applyBorder="1"/>
    <xf numFmtId="0" fontId="0" fillId="2" borderId="3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/>
    <xf numFmtId="0" fontId="0" fillId="3" borderId="1" xfId="0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43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10" borderId="0" xfId="0" applyFill="1" applyBorder="1" applyAlignment="1"/>
    <xf numFmtId="0" fontId="0" fillId="10" borderId="22" xfId="0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166" fontId="0" fillId="10" borderId="34" xfId="0" applyNumberFormat="1" applyFill="1" applyBorder="1" applyAlignment="1">
      <alignment horizontal="center" vertical="center"/>
    </xf>
    <xf numFmtId="0" fontId="0" fillId="10" borderId="9" xfId="0" applyFill="1" applyBorder="1" applyAlignment="1"/>
    <xf numFmtId="0" fontId="0" fillId="10" borderId="23" xfId="0" applyFill="1" applyBorder="1"/>
    <xf numFmtId="0" fontId="0" fillId="10" borderId="10" xfId="0" applyFill="1" applyBorder="1"/>
    <xf numFmtId="0" fontId="0" fillId="10" borderId="0" xfId="0" applyFill="1" applyBorder="1"/>
    <xf numFmtId="0" fontId="0" fillId="10" borderId="30" xfId="0" applyFill="1" applyBorder="1"/>
    <xf numFmtId="0" fontId="0" fillId="10" borderId="0" xfId="0" applyFill="1" applyBorder="1" applyAlignment="1">
      <alignment horizontal="center"/>
    </xf>
    <xf numFmtId="0" fontId="0" fillId="10" borderId="12" xfId="0" applyFill="1" applyBorder="1" applyAlignment="1"/>
    <xf numFmtId="0" fontId="0" fillId="10" borderId="24" xfId="0" applyFill="1" applyBorder="1" applyAlignment="1"/>
    <xf numFmtId="0" fontId="0" fillId="10" borderId="24" xfId="0" applyFill="1" applyBorder="1"/>
    <xf numFmtId="0" fontId="0" fillId="10" borderId="13" xfId="0" applyFill="1" applyBorder="1"/>
    <xf numFmtId="166" fontId="5" fillId="5" borderId="2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166" fontId="3" fillId="10" borderId="2" xfId="0" applyNumberFormat="1" applyFont="1" applyFill="1" applyBorder="1" applyAlignment="1">
      <alignment horizontal="center" vertical="center"/>
    </xf>
    <xf numFmtId="166" fontId="3" fillId="0" borderId="37" xfId="0" applyNumberFormat="1" applyFont="1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45" xfId="0" applyFill="1" applyBorder="1" applyAlignment="1">
      <alignment horizontal="center" vertical="center"/>
    </xf>
    <xf numFmtId="0" fontId="0" fillId="15" borderId="46" xfId="0" applyFill="1" applyBorder="1" applyAlignment="1">
      <alignment horizontal="center" vertical="center"/>
    </xf>
    <xf numFmtId="0" fontId="0" fillId="16" borderId="43" xfId="0" applyFill="1" applyBorder="1"/>
    <xf numFmtId="0" fontId="0" fillId="16" borderId="43" xfId="0" applyFill="1" applyBorder="1" applyAlignment="1">
      <alignment horizontal="center" vertical="center"/>
    </xf>
    <xf numFmtId="0" fontId="0" fillId="16" borderId="43" xfId="0" applyFill="1" applyBorder="1" applyAlignment="1">
      <alignment vertical="center"/>
    </xf>
    <xf numFmtId="0" fontId="0" fillId="8" borderId="0" xfId="0" applyFill="1" applyBorder="1"/>
    <xf numFmtId="0" fontId="0" fillId="8" borderId="30" xfId="0" applyFill="1" applyBorder="1"/>
    <xf numFmtId="0" fontId="0" fillId="18" borderId="41" xfId="0" applyFill="1" applyBorder="1" applyAlignment="1">
      <alignment horizontal="center"/>
    </xf>
    <xf numFmtId="0" fontId="0" fillId="18" borderId="41" xfId="0" applyFill="1" applyBorder="1" applyAlignment="1">
      <alignment horizontal="center" vertical="center"/>
    </xf>
    <xf numFmtId="0" fontId="0" fillId="18" borderId="38" xfId="0" applyFill="1" applyBorder="1" applyAlignment="1">
      <alignment horizontal="center"/>
    </xf>
    <xf numFmtId="0" fontId="0" fillId="18" borderId="38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166" fontId="0" fillId="0" borderId="38" xfId="0" applyNumberForma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13" borderId="40" xfId="0" applyFill="1" applyBorder="1" applyAlignment="1">
      <alignment horizontal="center" vertical="center"/>
    </xf>
    <xf numFmtId="0" fontId="0" fillId="13" borderId="40" xfId="0" applyFill="1" applyBorder="1" applyAlignment="1">
      <alignment horizont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18" borderId="57" xfId="0" applyFill="1" applyBorder="1" applyAlignment="1">
      <alignment horizontal="center" vertical="center"/>
    </xf>
    <xf numFmtId="0" fontId="0" fillId="18" borderId="58" xfId="0" applyFill="1" applyBorder="1" applyAlignment="1">
      <alignment horizontal="center" vertical="center"/>
    </xf>
    <xf numFmtId="0" fontId="0" fillId="13" borderId="30" xfId="0" applyFill="1" applyBorder="1"/>
    <xf numFmtId="0" fontId="0" fillId="14" borderId="23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5" fillId="22" borderId="42" xfId="0" applyFont="1" applyFill="1" applyBorder="1" applyAlignment="1">
      <alignment vertical="center" wrapText="1"/>
    </xf>
    <xf numFmtId="0" fontId="5" fillId="22" borderId="44" xfId="0" applyFont="1" applyFill="1" applyBorder="1" applyAlignment="1">
      <alignment vertical="center" wrapText="1"/>
    </xf>
    <xf numFmtId="0" fontId="0" fillId="22" borderId="43" xfId="0" applyFont="1" applyFill="1" applyBorder="1" applyAlignment="1">
      <alignment horizontal="center" vertical="center" wrapText="1"/>
    </xf>
    <xf numFmtId="0" fontId="14" fillId="0" borderId="0" xfId="0" applyFont="1"/>
    <xf numFmtId="165" fontId="0" fillId="0" borderId="59" xfId="0" applyNumberFormat="1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center" vertical="center"/>
    </xf>
    <xf numFmtId="166" fontId="0" fillId="19" borderId="40" xfId="0" applyNumberFormat="1" applyFill="1" applyBorder="1" applyAlignment="1">
      <alignment horizontal="center" vertical="center"/>
    </xf>
    <xf numFmtId="166" fontId="0" fillId="19" borderId="41" xfId="0" applyNumberFormat="1" applyFill="1" applyBorder="1" applyAlignment="1">
      <alignment horizontal="center" vertical="center"/>
    </xf>
    <xf numFmtId="166" fontId="0" fillId="21" borderId="44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11" xfId="0" applyBorder="1"/>
    <xf numFmtId="0" fontId="0" fillId="0" borderId="0" xfId="0" applyBorder="1"/>
    <xf numFmtId="0" fontId="0" fillId="0" borderId="30" xfId="0" applyBorder="1"/>
    <xf numFmtId="0" fontId="0" fillId="0" borderId="12" xfId="0" applyBorder="1"/>
    <xf numFmtId="0" fontId="0" fillId="0" borderId="24" xfId="0" applyBorder="1"/>
    <xf numFmtId="0" fontId="0" fillId="0" borderId="13" xfId="0" applyBorder="1"/>
    <xf numFmtId="0" fontId="0" fillId="0" borderId="9" xfId="0" applyBorder="1"/>
    <xf numFmtId="0" fontId="0" fillId="0" borderId="23" xfId="0" applyBorder="1"/>
    <xf numFmtId="0" fontId="0" fillId="0" borderId="10" xfId="0" applyBorder="1"/>
    <xf numFmtId="0" fontId="0" fillId="0" borderId="0" xfId="0" applyBorder="1" applyAlignment="1">
      <alignment vertical="center"/>
    </xf>
    <xf numFmtId="0" fontId="0" fillId="9" borderId="9" xfId="0" applyFill="1" applyBorder="1"/>
    <xf numFmtId="0" fontId="0" fillId="9" borderId="23" xfId="0" applyFill="1" applyBorder="1" applyAlignment="1">
      <alignment vertical="center"/>
    </xf>
    <xf numFmtId="0" fontId="0" fillId="9" borderId="10" xfId="0" applyFill="1" applyBorder="1"/>
    <xf numFmtId="0" fontId="0" fillId="9" borderId="11" xfId="0" applyFill="1" applyBorder="1"/>
    <xf numFmtId="0" fontId="0" fillId="9" borderId="0" xfId="0" applyFill="1" applyBorder="1" applyAlignment="1">
      <alignment vertical="center"/>
    </xf>
    <xf numFmtId="0" fontId="0" fillId="9" borderId="30" xfId="0" applyFill="1" applyBorder="1"/>
    <xf numFmtId="49" fontId="0" fillId="9" borderId="0" xfId="0" applyNumberFormat="1" applyFill="1" applyBorder="1" applyAlignment="1">
      <alignment vertical="center"/>
    </xf>
    <xf numFmtId="49" fontId="0" fillId="9" borderId="30" xfId="0" applyNumberFormat="1" applyFill="1" applyBorder="1" applyAlignment="1">
      <alignment vertical="top" wrapText="1"/>
    </xf>
    <xf numFmtId="49" fontId="0" fillId="9" borderId="0" xfId="0" applyNumberFormat="1" applyFill="1" applyBorder="1" applyAlignment="1">
      <alignment vertical="top" wrapText="1"/>
    </xf>
    <xf numFmtId="0" fontId="0" fillId="9" borderId="12" xfId="0" applyFill="1" applyBorder="1"/>
    <xf numFmtId="0" fontId="0" fillId="9" borderId="24" xfId="0" applyFill="1" applyBorder="1" applyAlignment="1">
      <alignment vertical="center"/>
    </xf>
    <xf numFmtId="0" fontId="0" fillId="9" borderId="13" xfId="0" applyFill="1" applyBorder="1"/>
    <xf numFmtId="0" fontId="0" fillId="0" borderId="18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49" fontId="0" fillId="9" borderId="0" xfId="0" applyNumberFormat="1" applyFill="1" applyBorder="1" applyAlignment="1">
      <alignment horizontal="left" vertical="top" wrapText="1"/>
    </xf>
    <xf numFmtId="49" fontId="0" fillId="9" borderId="0" xfId="0" applyNumberFormat="1" applyFill="1" applyBorder="1" applyAlignment="1">
      <alignment horizontal="left" vertical="center" wrapText="1"/>
    </xf>
    <xf numFmtId="49" fontId="0" fillId="9" borderId="0" xfId="0" applyNumberFormat="1" applyFill="1" applyBorder="1" applyAlignment="1">
      <alignment horizontal="left" wrapText="1"/>
    </xf>
    <xf numFmtId="0" fontId="0" fillId="17" borderId="10" xfId="0" applyFill="1" applyBorder="1" applyAlignment="1">
      <alignment horizontal="center" vertical="center" wrapText="1"/>
    </xf>
    <xf numFmtId="0" fontId="0" fillId="17" borderId="30" xfId="0" applyFill="1" applyBorder="1" applyAlignment="1">
      <alignment horizontal="center" vertical="center" wrapText="1"/>
    </xf>
    <xf numFmtId="0" fontId="0" fillId="17" borderId="13" xfId="0" applyFill="1" applyBorder="1" applyAlignment="1">
      <alignment horizontal="center" vertical="center" wrapText="1"/>
    </xf>
    <xf numFmtId="0" fontId="8" fillId="12" borderId="43" xfId="0" applyFont="1" applyFill="1" applyBorder="1" applyAlignment="1">
      <alignment horizontal="center" vertical="center" wrapText="1"/>
    </xf>
    <xf numFmtId="0" fontId="8" fillId="12" borderId="44" xfId="0" applyFont="1" applyFill="1" applyBorder="1" applyAlignment="1">
      <alignment horizontal="center" vertical="center" wrapText="1"/>
    </xf>
    <xf numFmtId="0" fontId="8" fillId="12" borderId="9" xfId="0" applyFont="1" applyFill="1" applyBorder="1" applyAlignment="1">
      <alignment horizontal="center" vertical="center" wrapText="1"/>
    </xf>
    <xf numFmtId="0" fontId="8" fillId="12" borderId="23" xfId="0" applyFont="1" applyFill="1" applyBorder="1" applyAlignment="1">
      <alignment horizontal="center" vertical="center" wrapText="1"/>
    </xf>
    <xf numFmtId="0" fontId="8" fillId="12" borderId="10" xfId="0" applyFont="1" applyFill="1" applyBorder="1" applyAlignment="1">
      <alignment horizontal="center" vertical="center" wrapText="1"/>
    </xf>
    <xf numFmtId="0" fontId="8" fillId="12" borderId="11" xfId="0" applyFont="1" applyFill="1" applyBorder="1" applyAlignment="1">
      <alignment horizontal="center" vertical="center" wrapText="1"/>
    </xf>
    <xf numFmtId="0" fontId="8" fillId="12" borderId="0" xfId="0" applyFont="1" applyFill="1" applyBorder="1" applyAlignment="1">
      <alignment horizontal="center" vertical="center" wrapText="1"/>
    </xf>
    <xf numFmtId="0" fontId="8" fillId="12" borderId="30" xfId="0" applyFont="1" applyFill="1" applyBorder="1" applyAlignment="1">
      <alignment horizontal="center" vertical="center" wrapText="1"/>
    </xf>
    <xf numFmtId="0" fontId="8" fillId="12" borderId="12" xfId="0" applyFont="1" applyFill="1" applyBorder="1" applyAlignment="1">
      <alignment horizontal="center" vertical="center" wrapText="1"/>
    </xf>
    <xf numFmtId="0" fontId="8" fillId="12" borderId="24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 vertical="center" wrapText="1"/>
    </xf>
    <xf numFmtId="0" fontId="0" fillId="16" borderId="43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8" fillId="12" borderId="43" xfId="0" applyFont="1" applyFill="1" applyBorder="1" applyAlignment="1">
      <alignment horizont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0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8" fillId="12" borderId="43" xfId="0" applyFont="1" applyFill="1" applyBorder="1" applyAlignment="1">
      <alignment horizontal="center" vertical="center"/>
    </xf>
    <xf numFmtId="0" fontId="0" fillId="14" borderId="9" xfId="0" applyFill="1" applyBorder="1" applyAlignment="1">
      <alignment horizontal="center" vertical="center" wrapText="1"/>
    </xf>
    <xf numFmtId="0" fontId="0" fillId="14" borderId="23" xfId="0" applyFill="1" applyBorder="1" applyAlignment="1">
      <alignment horizontal="center" vertical="center" wrapText="1"/>
    </xf>
    <xf numFmtId="0" fontId="3" fillId="11" borderId="42" xfId="0" applyFont="1" applyFill="1" applyBorder="1" applyAlignment="1">
      <alignment horizontal="center" vertical="center"/>
    </xf>
    <xf numFmtId="0" fontId="3" fillId="11" borderId="37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3" fillId="11" borderId="60" xfId="0" applyFont="1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54" xfId="0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5" borderId="22" xfId="0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0" fontId="5" fillId="6" borderId="24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53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54" xfId="0" applyFont="1" applyFill="1" applyBorder="1" applyAlignment="1">
      <alignment horizontal="center" vertical="center"/>
    </xf>
    <xf numFmtId="0" fontId="0" fillId="15" borderId="18" xfId="0" applyFill="1" applyBorder="1" applyAlignment="1">
      <alignment horizontal="center" vertical="center"/>
    </xf>
    <xf numFmtId="0" fontId="0" fillId="15" borderId="53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1" xfId="0" applyBorder="1" applyAlignment="1">
      <alignment horizontal="center"/>
    </xf>
    <xf numFmtId="0" fontId="18" fillId="16" borderId="9" xfId="0" applyFont="1" applyFill="1" applyBorder="1" applyAlignment="1">
      <alignment horizontal="center" vertical="center" wrapText="1"/>
    </xf>
    <xf numFmtId="0" fontId="18" fillId="16" borderId="23" xfId="0" applyFont="1" applyFill="1" applyBorder="1" applyAlignment="1">
      <alignment horizontal="center" vertical="center" wrapText="1"/>
    </xf>
    <xf numFmtId="0" fontId="18" fillId="16" borderId="10" xfId="0" applyFont="1" applyFill="1" applyBorder="1" applyAlignment="1">
      <alignment horizontal="center" vertical="center" wrapText="1"/>
    </xf>
    <xf numFmtId="0" fontId="18" fillId="16" borderId="11" xfId="0" applyFont="1" applyFill="1" applyBorder="1" applyAlignment="1">
      <alignment horizontal="center" vertical="center" wrapText="1"/>
    </xf>
    <xf numFmtId="0" fontId="18" fillId="16" borderId="0" xfId="0" applyFont="1" applyFill="1" applyBorder="1" applyAlignment="1">
      <alignment horizontal="center" vertical="center" wrapText="1"/>
    </xf>
    <xf numFmtId="0" fontId="18" fillId="16" borderId="30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center" vertical="center" wrapText="1"/>
    </xf>
    <xf numFmtId="0" fontId="18" fillId="16" borderId="24" xfId="0" applyFont="1" applyFill="1" applyBorder="1" applyAlignment="1">
      <alignment horizontal="center" vertical="center" wrapText="1"/>
    </xf>
    <xf numFmtId="0" fontId="18" fillId="16" borderId="13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0" borderId="9" xfId="0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0" fillId="20" borderId="11" xfId="0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0" fillId="20" borderId="12" xfId="0" applyFill="1" applyBorder="1" applyAlignment="1">
      <alignment horizontal="center" vertical="center" wrapText="1"/>
    </xf>
    <xf numFmtId="0" fontId="0" fillId="20" borderId="24" xfId="0" applyFill="1" applyBorder="1" applyAlignment="1">
      <alignment horizontal="center" vertical="center" wrapText="1"/>
    </xf>
    <xf numFmtId="0" fontId="0" fillId="20" borderId="13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/>
    </xf>
    <xf numFmtId="0" fontId="0" fillId="21" borderId="13" xfId="0" applyFill="1" applyBorder="1" applyAlignment="1">
      <alignment horizontal="center"/>
    </xf>
    <xf numFmtId="0" fontId="0" fillId="0" borderId="28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 wrapText="1"/>
    </xf>
    <xf numFmtId="0" fontId="5" fillId="4" borderId="41" xfId="0" applyFont="1" applyFill="1" applyBorder="1" applyAlignment="1">
      <alignment horizontal="center" vertical="center" wrapText="1"/>
    </xf>
    <xf numFmtId="0" fontId="5" fillId="4" borderId="38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10" borderId="0" xfId="0" applyFill="1" applyBorder="1" applyAlignment="1">
      <alignment horizontal="left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9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28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0" fillId="3" borderId="40" xfId="0" applyFont="1" applyFill="1" applyBorder="1" applyAlignment="1">
      <alignment horizontal="center" vertical="center" wrapText="1"/>
    </xf>
    <xf numFmtId="0" fontId="0" fillId="3" borderId="38" xfId="0" applyFont="1" applyFill="1" applyBorder="1" applyAlignment="1">
      <alignment horizontal="center" vertical="center" wrapText="1"/>
    </xf>
    <xf numFmtId="0" fontId="0" fillId="3" borderId="56" xfId="0" applyFill="1" applyBorder="1" applyAlignment="1">
      <alignment horizontal="center" vertical="center" wrapText="1"/>
    </xf>
    <xf numFmtId="0" fontId="0" fillId="3" borderId="50" xfId="0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 wrapText="1"/>
    </xf>
    <xf numFmtId="0" fontId="0" fillId="3" borderId="44" xfId="0" applyFill="1" applyBorder="1" applyAlignment="1">
      <alignment horizontal="center" vertical="center" wrapText="1"/>
    </xf>
    <xf numFmtId="0" fontId="0" fillId="2" borderId="9" xfId="0" applyFont="1" applyFill="1" applyBorder="1" applyAlignment="1">
      <alignment horizontal="center" vertical="center" wrapText="1"/>
    </xf>
    <xf numFmtId="0" fontId="0" fillId="2" borderId="23" xfId="0" applyFont="1" applyFill="1" applyBorder="1" applyAlignment="1">
      <alignment horizontal="center" vertical="center" wrapText="1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30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24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0" fontId="0" fillId="23" borderId="9" xfId="0" applyFill="1" applyBorder="1" applyAlignment="1">
      <alignment horizontal="center" vertical="center" wrapText="1"/>
    </xf>
    <xf numFmtId="0" fontId="0" fillId="23" borderId="23" xfId="0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0" fillId="23" borderId="11" xfId="0" applyFill="1" applyBorder="1" applyAlignment="1">
      <alignment horizontal="center" vertical="center" wrapText="1"/>
    </xf>
    <xf numFmtId="0" fontId="0" fillId="23" borderId="0" xfId="0" applyFill="1" applyBorder="1" applyAlignment="1">
      <alignment horizontal="center" vertical="center" wrapText="1"/>
    </xf>
    <xf numFmtId="0" fontId="0" fillId="23" borderId="30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7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 vertical="center" wrapText="1"/>
    </xf>
    <xf numFmtId="0" fontId="0" fillId="3" borderId="51" xfId="0" applyFill="1" applyBorder="1" applyAlignment="1">
      <alignment horizontal="center" vertical="center"/>
    </xf>
    <xf numFmtId="0" fontId="0" fillId="3" borderId="5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521"/>
      <color rgb="FF99FF99"/>
      <color rgb="FF99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Effect of Pressure variation on Adiabatic Flame</a:t>
            </a:r>
            <a:r>
              <a:rPr lang="en-US" baseline="0"/>
              <a:t> Temperature</a:t>
            </a:r>
            <a:endParaRPr lang="en-US"/>
          </a:p>
        </c:rich>
      </c:tx>
      <c:layout>
        <c:manualLayout>
          <c:xMode val="edge"/>
          <c:yMode val="edge"/>
          <c:x val="0.1889222977589407"/>
          <c:y val="5.04138460715228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999386532426435E-2"/>
          <c:y val="2.2182092271470066E-2"/>
          <c:w val="0.87437083538254945"/>
          <c:h val="0.92095458260272967"/>
        </c:manualLayout>
      </c:layout>
      <c:scatterChart>
        <c:scatterStyle val="smoothMarker"/>
        <c:varyColors val="0"/>
        <c:ser>
          <c:idx val="0"/>
          <c:order val="0"/>
          <c:tx>
            <c:v>Pressure = 20 atm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Results!$D$9:$D$15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</c:numCache>
            </c:numRef>
          </c:xVal>
          <c:yVal>
            <c:numRef>
              <c:f>Results!$F$9:$F$15</c:f>
              <c:numCache>
                <c:formatCode>General</c:formatCode>
                <c:ptCount val="7"/>
                <c:pt idx="0">
                  <c:v>2147.1999999999998</c:v>
                </c:pt>
                <c:pt idx="1">
                  <c:v>2307.3000000000002</c:v>
                </c:pt>
                <c:pt idx="2">
                  <c:v>2451.5</c:v>
                </c:pt>
                <c:pt idx="3">
                  <c:v>2556.5</c:v>
                </c:pt>
                <c:pt idx="4">
                  <c:v>2553.5</c:v>
                </c:pt>
                <c:pt idx="5">
                  <c:v>2506</c:v>
                </c:pt>
                <c:pt idx="6">
                  <c:v>2455.6999999999998</c:v>
                </c:pt>
              </c:numCache>
            </c:numRef>
          </c:yVal>
          <c:smooth val="1"/>
        </c:ser>
        <c:ser>
          <c:idx val="1"/>
          <c:order val="1"/>
          <c:tx>
            <c:v>Pressure = 2 atm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Results!$D$25:$D$31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</c:numCache>
            </c:numRef>
          </c:xVal>
          <c:yVal>
            <c:numRef>
              <c:f>Results!$F$25:$F$31</c:f>
              <c:numCache>
                <c:formatCode>General</c:formatCode>
                <c:ptCount val="7"/>
                <c:pt idx="0">
                  <c:v>2135</c:v>
                </c:pt>
                <c:pt idx="1">
                  <c:v>2283</c:v>
                </c:pt>
                <c:pt idx="2">
                  <c:v>2404</c:v>
                </c:pt>
                <c:pt idx="3">
                  <c:v>2483</c:v>
                </c:pt>
                <c:pt idx="4">
                  <c:v>2496</c:v>
                </c:pt>
                <c:pt idx="5">
                  <c:v>2468</c:v>
                </c:pt>
                <c:pt idx="6">
                  <c:v>2427.5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28688"/>
        <c:axId val="348129080"/>
      </c:scatterChart>
      <c:valAx>
        <c:axId val="348128688"/>
        <c:scaling>
          <c:orientation val="minMax"/>
          <c:max val="1.6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Equivalence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29080"/>
        <c:crosses val="autoZero"/>
        <c:crossBetween val="midCat"/>
        <c:majorUnit val="0.1"/>
      </c:valAx>
      <c:valAx>
        <c:axId val="348129080"/>
        <c:scaling>
          <c:orientation val="minMax"/>
          <c:max val="2700"/>
          <c:min val="21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Adiabatic</a:t>
                </a:r>
                <a:r>
                  <a:rPr lang="en-US" baseline="0"/>
                  <a:t> flame temperature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28688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25201178734126"/>
          <c:y val="0.78108720198073223"/>
          <c:w val="0.16238186857379744"/>
          <c:h val="9.8307476190771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pin" dx="22" fmlaLink="$H$46" max="1" page="10" val="0"/>
</file>

<file path=xl/ctrlProps/ctrlProp2.xml><?xml version="1.0" encoding="utf-8"?>
<formControlPr xmlns="http://schemas.microsoft.com/office/spreadsheetml/2009/9/main" objectType="Scroll" dx="22" fmlaLink="$E$541" horiz="1" max="15" min="7" page="10" val="10"/>
</file>

<file path=xl/ctrlProps/ctrlProp3.xml><?xml version="1.0" encoding="utf-8"?>
<formControlPr xmlns="http://schemas.microsoft.com/office/spreadsheetml/2009/9/main" objectType="Scroll" dx="22" fmlaLink="$H$23" horiz="1" max="25" min="2" page="10" val="2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44</xdr:row>
          <xdr:rowOff>142875</xdr:rowOff>
        </xdr:from>
        <xdr:to>
          <xdr:col>8</xdr:col>
          <xdr:colOff>381000</xdr:colOff>
          <xdr:row>46</xdr:row>
          <xdr:rowOff>85725</xdr:rowOff>
        </xdr:to>
        <xdr:sp macro="" textlink="">
          <xdr:nvSpPr>
            <xdr:cNvPr id="7171" name="Spinner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36</xdr:row>
          <xdr:rowOff>76200</xdr:rowOff>
        </xdr:from>
        <xdr:to>
          <xdr:col>10</xdr:col>
          <xdr:colOff>847725</xdr:colOff>
          <xdr:row>37</xdr:row>
          <xdr:rowOff>85725</xdr:rowOff>
        </xdr:to>
        <xdr:sp macro="" textlink="">
          <xdr:nvSpPr>
            <xdr:cNvPr id="7173" name="Scroll Bar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85725</xdr:rowOff>
        </xdr:from>
        <xdr:to>
          <xdr:col>10</xdr:col>
          <xdr:colOff>866775</xdr:colOff>
          <xdr:row>23</xdr:row>
          <xdr:rowOff>104775</xdr:rowOff>
        </xdr:to>
        <xdr:sp macro="" textlink="">
          <xdr:nvSpPr>
            <xdr:cNvPr id="7174" name="Scroll Bar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29</xdr:row>
          <xdr:rowOff>38100</xdr:rowOff>
        </xdr:from>
        <xdr:to>
          <xdr:col>10</xdr:col>
          <xdr:colOff>800100</xdr:colOff>
          <xdr:row>32</xdr:row>
          <xdr:rowOff>95250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chemX Concentration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19050</xdr:rowOff>
        </xdr:from>
        <xdr:to>
          <xdr:col>10</xdr:col>
          <xdr:colOff>742950</xdr:colOff>
          <xdr:row>20</xdr:row>
          <xdr:rowOff>28575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 for getting adiabatic flame temperature Tad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17</xdr:row>
          <xdr:rowOff>190500</xdr:rowOff>
        </xdr:from>
        <xdr:to>
          <xdr:col>8</xdr:col>
          <xdr:colOff>504825</xdr:colOff>
          <xdr:row>21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Lucida Bright"/>
                </a:rPr>
                <a:t>Calculate Ne Concentration for given Tad temperature and Equivalence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15</xdr:row>
          <xdr:rowOff>76200</xdr:rowOff>
        </xdr:from>
        <xdr:to>
          <xdr:col>6</xdr:col>
          <xdr:colOff>504825</xdr:colOff>
          <xdr:row>17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 Light"/>
                </a:rPr>
                <a:t>Turn Ne Switch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15</xdr:row>
          <xdr:rowOff>76200</xdr:rowOff>
        </xdr:from>
        <xdr:to>
          <xdr:col>8</xdr:col>
          <xdr:colOff>428625</xdr:colOff>
          <xdr:row>17</xdr:row>
          <xdr:rowOff>114300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Light"/>
                </a:rPr>
                <a:t>Turn Ne Switch OFF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8</xdr:row>
          <xdr:rowOff>161925</xdr:rowOff>
        </xdr:from>
        <xdr:to>
          <xdr:col>10</xdr:col>
          <xdr:colOff>504825</xdr:colOff>
          <xdr:row>10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339966"/>
                  </a:solidFill>
                  <a:latin typeface="Broadway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</xdr:colOff>
      <xdr:row>24</xdr:row>
      <xdr:rowOff>142875</xdr:rowOff>
    </xdr:from>
    <xdr:to>
      <xdr:col>6</xdr:col>
      <xdr:colOff>723900</xdr:colOff>
      <xdr:row>26</xdr:row>
      <xdr:rowOff>28575</xdr:rowOff>
    </xdr:to>
    <xdr:sp macro="" textlink="">
      <xdr:nvSpPr>
        <xdr:cNvPr id="4" name="Right Arrow 3"/>
        <xdr:cNvSpPr/>
      </xdr:nvSpPr>
      <xdr:spPr>
        <a:xfrm>
          <a:off x="5505450" y="4610100"/>
          <a:ext cx="1581150" cy="2857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9525</xdr:rowOff>
    </xdr:from>
    <xdr:to>
      <xdr:col>6</xdr:col>
      <xdr:colOff>600075</xdr:colOff>
      <xdr:row>14</xdr:row>
      <xdr:rowOff>190500</xdr:rowOff>
    </xdr:to>
    <xdr:sp macro="" textlink="">
      <xdr:nvSpPr>
        <xdr:cNvPr id="5" name="Rectangle 4"/>
        <xdr:cNvSpPr/>
      </xdr:nvSpPr>
      <xdr:spPr>
        <a:xfrm>
          <a:off x="4467225" y="1171575"/>
          <a:ext cx="1390650" cy="17145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114300</xdr:colOff>
      <xdr:row>10</xdr:row>
      <xdr:rowOff>38100</xdr:rowOff>
    </xdr:from>
    <xdr:to>
      <xdr:col>9</xdr:col>
      <xdr:colOff>542925</xdr:colOff>
      <xdr:row>11</xdr:row>
      <xdr:rowOff>19050</xdr:rowOff>
    </xdr:to>
    <xdr:sp macro="" textlink="">
      <xdr:nvSpPr>
        <xdr:cNvPr id="6" name="Right Arrow 5"/>
        <xdr:cNvSpPr/>
      </xdr:nvSpPr>
      <xdr:spPr>
        <a:xfrm>
          <a:off x="5981700" y="1971675"/>
          <a:ext cx="1647825" cy="1714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23</xdr:row>
          <xdr:rowOff>190500</xdr:rowOff>
        </xdr:from>
        <xdr:to>
          <xdr:col>11</xdr:col>
          <xdr:colOff>485775</xdr:colOff>
          <xdr:row>28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Lucida Console"/>
                </a:rPr>
                <a:t>Go to Pressure variation effect plot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015" cy="629787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H20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2" connectionId="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N2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O_1" connectionId="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NO" connectionId="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H" connectionId="7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H2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X541"/>
  <sheetViews>
    <sheetView showGridLines="0" tabSelected="1" zoomScale="90" zoomScaleNormal="90" workbookViewId="0">
      <selection activeCell="D3" sqref="D3:K6"/>
    </sheetView>
  </sheetViews>
  <sheetFormatPr defaultRowHeight="15" x14ac:dyDescent="0.25"/>
  <cols>
    <col min="5" max="5" width="19.5703125" customWidth="1"/>
    <col min="6" max="6" width="19.42578125" customWidth="1"/>
    <col min="7" max="7" width="20.42578125" customWidth="1"/>
    <col min="11" max="11" width="13.42578125" customWidth="1"/>
    <col min="12" max="12" width="24.85546875" customWidth="1"/>
  </cols>
  <sheetData>
    <row r="1" spans="1:24" x14ac:dyDescent="0.25">
      <c r="A1" s="139"/>
    </row>
    <row r="2" spans="1:24" ht="15.75" thickBot="1" x14ac:dyDescent="0.3"/>
    <row r="3" spans="1:24" ht="15" customHeight="1" x14ac:dyDescent="0.25">
      <c r="D3" s="184" t="s">
        <v>135</v>
      </c>
      <c r="E3" s="185"/>
      <c r="F3" s="185"/>
      <c r="G3" s="185"/>
      <c r="H3" s="185"/>
      <c r="I3" s="185"/>
      <c r="J3" s="185"/>
      <c r="K3" s="186"/>
    </row>
    <row r="4" spans="1:24" x14ac:dyDescent="0.25">
      <c r="D4" s="187"/>
      <c r="E4" s="188"/>
      <c r="F4" s="188"/>
      <c r="G4" s="188"/>
      <c r="H4" s="188"/>
      <c r="I4" s="188"/>
      <c r="J4" s="188"/>
      <c r="K4" s="189"/>
    </row>
    <row r="5" spans="1:24" ht="15" customHeight="1" x14ac:dyDescent="0.25">
      <c r="D5" s="187"/>
      <c r="E5" s="188"/>
      <c r="F5" s="188"/>
      <c r="G5" s="188"/>
      <c r="H5" s="188"/>
      <c r="I5" s="188"/>
      <c r="J5" s="188"/>
      <c r="K5" s="18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</row>
    <row r="6" spans="1:24" ht="15" customHeight="1" thickBot="1" x14ac:dyDescent="0.3">
      <c r="D6" s="190"/>
      <c r="E6" s="191"/>
      <c r="F6" s="191"/>
      <c r="G6" s="191"/>
      <c r="H6" s="191"/>
      <c r="I6" s="191"/>
      <c r="J6" s="191"/>
      <c r="K6" s="192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</row>
    <row r="7" spans="1:24" x14ac:dyDescent="0.25">
      <c r="D7" s="182">
        <v>1</v>
      </c>
      <c r="E7" s="230" t="s">
        <v>116</v>
      </c>
      <c r="F7" s="232" t="s">
        <v>0</v>
      </c>
      <c r="G7" s="233"/>
      <c r="H7" s="219" t="s">
        <v>119</v>
      </c>
      <c r="I7" s="197" t="s">
        <v>120</v>
      </c>
      <c r="J7" s="193" t="s">
        <v>125</v>
      </c>
      <c r="K7" s="194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</row>
    <row r="8" spans="1:24" ht="15" customHeight="1" thickBot="1" x14ac:dyDescent="0.3">
      <c r="D8" s="182"/>
      <c r="E8" s="231"/>
      <c r="F8" s="234"/>
      <c r="G8" s="235"/>
      <c r="H8" s="220"/>
      <c r="I8" s="221"/>
      <c r="J8" s="195"/>
      <c r="K8" s="196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</row>
    <row r="9" spans="1:24" ht="18" x14ac:dyDescent="0.25">
      <c r="D9" s="182"/>
      <c r="E9" s="94" t="s">
        <v>7</v>
      </c>
      <c r="F9" s="236" t="s">
        <v>16</v>
      </c>
      <c r="G9" s="237"/>
      <c r="H9" s="97"/>
      <c r="I9" s="133"/>
      <c r="J9" s="100"/>
      <c r="K9" s="101"/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  <c r="X9" s="149"/>
    </row>
    <row r="10" spans="1:24" x14ac:dyDescent="0.25">
      <c r="D10" s="182"/>
      <c r="E10" s="95" t="s">
        <v>8</v>
      </c>
      <c r="F10" s="215" t="s">
        <v>1</v>
      </c>
      <c r="G10" s="216"/>
      <c r="H10" s="97"/>
      <c r="I10" s="133"/>
      <c r="J10" s="100"/>
      <c r="K10" s="101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</row>
    <row r="11" spans="1:24" x14ac:dyDescent="0.25">
      <c r="D11" s="182"/>
      <c r="E11" s="95" t="s">
        <v>9</v>
      </c>
      <c r="F11" s="215" t="s">
        <v>6</v>
      </c>
      <c r="G11" s="216"/>
      <c r="H11" s="97"/>
      <c r="I11" s="133"/>
      <c r="J11" s="100"/>
      <c r="K11" s="101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</row>
    <row r="12" spans="1:24" ht="15" customHeight="1" x14ac:dyDescent="0.25">
      <c r="D12" s="182"/>
      <c r="E12" s="95" t="s">
        <v>10</v>
      </c>
      <c r="F12" s="215" t="s">
        <v>5</v>
      </c>
      <c r="G12" s="216"/>
      <c r="H12" s="97"/>
      <c r="I12" s="133"/>
      <c r="J12" s="100"/>
      <c r="K12" s="101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</row>
    <row r="13" spans="1:24" x14ac:dyDescent="0.25">
      <c r="D13" s="182"/>
      <c r="E13" s="95" t="s">
        <v>11</v>
      </c>
      <c r="F13" s="222" t="s">
        <v>2</v>
      </c>
      <c r="G13" s="223"/>
      <c r="H13" s="97"/>
      <c r="I13" s="133"/>
      <c r="J13" s="100"/>
      <c r="K13" s="101"/>
      <c r="M13" s="149"/>
      <c r="N13" s="149"/>
      <c r="O13" s="149"/>
      <c r="P13" s="149"/>
      <c r="Q13" s="149"/>
      <c r="R13" s="149"/>
      <c r="S13" s="149"/>
      <c r="T13" s="149"/>
      <c r="U13" s="149"/>
      <c r="V13" s="149"/>
      <c r="W13" s="149"/>
      <c r="X13" s="149"/>
    </row>
    <row r="14" spans="1:24" ht="18" customHeight="1" x14ac:dyDescent="0.25">
      <c r="D14" s="182"/>
      <c r="E14" s="95" t="s">
        <v>12</v>
      </c>
      <c r="F14" s="215" t="s">
        <v>127</v>
      </c>
      <c r="G14" s="216"/>
      <c r="H14" s="97"/>
      <c r="I14" s="133"/>
      <c r="J14" s="100"/>
      <c r="K14" s="101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</row>
    <row r="15" spans="1:24" ht="18" x14ac:dyDescent="0.25">
      <c r="D15" s="182"/>
      <c r="E15" s="95" t="s">
        <v>13</v>
      </c>
      <c r="F15" s="215" t="s">
        <v>128</v>
      </c>
      <c r="G15" s="216"/>
      <c r="H15" s="97"/>
      <c r="I15" s="133"/>
      <c r="J15" s="100"/>
      <c r="K15" s="101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49"/>
      <c r="X15" s="149"/>
    </row>
    <row r="16" spans="1:24" ht="18" x14ac:dyDescent="0.25">
      <c r="D16" s="182"/>
      <c r="E16" s="95" t="s">
        <v>47</v>
      </c>
      <c r="F16" s="215" t="s">
        <v>129</v>
      </c>
      <c r="G16" s="216"/>
      <c r="H16" s="97"/>
      <c r="I16" s="133"/>
      <c r="J16" s="100"/>
      <c r="K16" s="101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49"/>
    </row>
    <row r="17" spans="4:24" ht="15.75" thickBot="1" x14ac:dyDescent="0.3">
      <c r="D17" s="182"/>
      <c r="E17" s="96" t="s">
        <v>49</v>
      </c>
      <c r="F17" s="217" t="s">
        <v>91</v>
      </c>
      <c r="G17" s="218"/>
      <c r="H17" s="97"/>
      <c r="I17" s="133"/>
      <c r="J17" s="100"/>
      <c r="K17" s="101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</row>
    <row r="18" spans="4:24" x14ac:dyDescent="0.25">
      <c r="D18" s="182">
        <v>2</v>
      </c>
      <c r="E18" s="209" t="s">
        <v>88</v>
      </c>
      <c r="F18" s="210"/>
      <c r="G18" s="210"/>
      <c r="H18" s="97"/>
      <c r="I18" s="197" t="s">
        <v>121</v>
      </c>
      <c r="J18" s="100"/>
      <c r="K18" s="101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</row>
    <row r="19" spans="4:24" x14ac:dyDescent="0.25">
      <c r="D19" s="182"/>
      <c r="E19" s="202"/>
      <c r="F19" s="203"/>
      <c r="G19" s="203"/>
      <c r="H19" s="98">
        <v>2556.640625</v>
      </c>
      <c r="I19" s="197"/>
      <c r="J19" s="100"/>
      <c r="K19" s="101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</row>
    <row r="20" spans="4:24" ht="15.75" thickBot="1" x14ac:dyDescent="0.3">
      <c r="D20" s="182"/>
      <c r="E20" s="202"/>
      <c r="F20" s="203"/>
      <c r="G20" s="203"/>
      <c r="H20" s="99"/>
      <c r="I20" s="197"/>
      <c r="J20" s="100"/>
      <c r="K20" s="101"/>
      <c r="M20" s="149"/>
      <c r="N20" s="149"/>
      <c r="O20" s="157"/>
      <c r="P20" s="157"/>
      <c r="Q20" s="157"/>
      <c r="R20" s="157"/>
      <c r="S20" s="157"/>
      <c r="T20" s="157"/>
      <c r="U20" s="157"/>
      <c r="V20" s="157"/>
      <c r="W20" s="149"/>
      <c r="X20" s="149"/>
    </row>
    <row r="21" spans="4:24" x14ac:dyDescent="0.25">
      <c r="D21" s="208">
        <v>3</v>
      </c>
      <c r="E21" s="202" t="s">
        <v>14</v>
      </c>
      <c r="F21" s="203"/>
      <c r="G21" s="203"/>
      <c r="H21" s="198">
        <v>8.3140000000000001</v>
      </c>
      <c r="I21" s="197" t="s">
        <v>122</v>
      </c>
      <c r="J21" s="100"/>
      <c r="K21" s="101"/>
      <c r="N21" s="158"/>
      <c r="O21" s="159"/>
      <c r="P21" s="159"/>
      <c r="Q21" s="159"/>
      <c r="R21" s="159"/>
      <c r="S21" s="159"/>
      <c r="T21" s="159"/>
      <c r="U21" s="159"/>
      <c r="V21" s="159"/>
      <c r="W21" s="160"/>
    </row>
    <row r="22" spans="4:24" x14ac:dyDescent="0.25">
      <c r="D22" s="208"/>
      <c r="E22" s="202"/>
      <c r="F22" s="203"/>
      <c r="G22" s="203"/>
      <c r="H22" s="198"/>
      <c r="I22" s="197"/>
      <c r="J22" s="100"/>
      <c r="K22" s="101"/>
      <c r="N22" s="161"/>
      <c r="O22" s="162"/>
      <c r="P22" s="162"/>
      <c r="Q22" s="162"/>
      <c r="R22" s="162"/>
      <c r="S22" s="162"/>
      <c r="T22" s="162"/>
      <c r="U22" s="162"/>
      <c r="V22" s="162"/>
      <c r="W22" s="163"/>
    </row>
    <row r="23" spans="4:24" x14ac:dyDescent="0.25">
      <c r="D23" s="182">
        <v>4</v>
      </c>
      <c r="E23" s="202" t="s">
        <v>17</v>
      </c>
      <c r="F23" s="203"/>
      <c r="G23" s="203"/>
      <c r="H23" s="198">
        <v>20</v>
      </c>
      <c r="I23" s="197" t="s">
        <v>123</v>
      </c>
      <c r="J23" s="100"/>
      <c r="K23" s="101"/>
      <c r="N23" s="161"/>
      <c r="O23" s="162"/>
      <c r="P23" s="162"/>
      <c r="Q23" s="162"/>
      <c r="R23" s="162"/>
      <c r="S23" s="162"/>
      <c r="T23" s="162"/>
      <c r="U23" s="162"/>
      <c r="V23" s="162"/>
      <c r="W23" s="163"/>
    </row>
    <row r="24" spans="4:24" ht="15.75" thickBot="1" x14ac:dyDescent="0.3">
      <c r="D24" s="182"/>
      <c r="E24" s="202"/>
      <c r="F24" s="203"/>
      <c r="G24" s="203"/>
      <c r="H24" s="198"/>
      <c r="I24" s="197"/>
      <c r="J24" s="100"/>
      <c r="K24" s="101"/>
      <c r="N24" s="161"/>
      <c r="O24" s="162"/>
      <c r="P24" s="162"/>
      <c r="Q24" s="162"/>
      <c r="R24" s="162"/>
      <c r="S24" s="162"/>
      <c r="T24" s="162"/>
      <c r="U24" s="162"/>
      <c r="V24" s="162"/>
      <c r="W24" s="163"/>
    </row>
    <row r="25" spans="4:24" x14ac:dyDescent="0.25">
      <c r="D25" s="208">
        <v>5</v>
      </c>
      <c r="E25" s="204" t="s">
        <v>71</v>
      </c>
      <c r="F25" s="205"/>
      <c r="G25" s="205"/>
      <c r="H25" s="99"/>
      <c r="I25" s="133"/>
      <c r="J25" s="100"/>
      <c r="K25" s="101"/>
      <c r="N25" s="161"/>
      <c r="O25" s="162"/>
      <c r="P25" s="162"/>
      <c r="Q25" s="162"/>
      <c r="R25" s="162"/>
      <c r="S25" s="162"/>
      <c r="T25" s="162"/>
      <c r="U25" s="162"/>
      <c r="V25" s="162"/>
      <c r="W25" s="163"/>
    </row>
    <row r="26" spans="4:24" ht="15.75" thickBot="1" x14ac:dyDescent="0.3">
      <c r="D26" s="208"/>
      <c r="E26" s="206"/>
      <c r="F26" s="207"/>
      <c r="G26" s="207"/>
      <c r="H26" s="97"/>
      <c r="I26" s="133"/>
      <c r="J26" s="100"/>
      <c r="K26" s="101"/>
      <c r="N26" s="161"/>
      <c r="O26" s="162" t="s">
        <v>138</v>
      </c>
      <c r="P26" s="162"/>
      <c r="Q26" s="162"/>
      <c r="R26" s="162"/>
      <c r="S26" s="162"/>
      <c r="T26" s="162"/>
      <c r="U26" s="162"/>
      <c r="V26" s="162"/>
      <c r="W26" s="163"/>
    </row>
    <row r="27" spans="4:24" x14ac:dyDescent="0.25">
      <c r="D27" s="208"/>
      <c r="E27" s="211" t="s">
        <v>58</v>
      </c>
      <c r="F27" s="211" t="s">
        <v>15</v>
      </c>
      <c r="G27" s="213" t="s">
        <v>59</v>
      </c>
      <c r="H27" s="97"/>
      <c r="I27" s="133"/>
      <c r="J27" s="100"/>
      <c r="K27" s="101"/>
      <c r="N27" s="161"/>
      <c r="O27" s="162"/>
      <c r="P27" s="162"/>
      <c r="Q27" s="162"/>
      <c r="R27" s="162"/>
      <c r="S27" s="162"/>
      <c r="T27" s="162"/>
      <c r="U27" s="162"/>
      <c r="V27" s="162"/>
      <c r="W27" s="163"/>
    </row>
    <row r="28" spans="4:24" x14ac:dyDescent="0.25">
      <c r="D28" s="208"/>
      <c r="E28" s="212"/>
      <c r="F28" s="212"/>
      <c r="G28" s="214"/>
      <c r="H28" s="97"/>
      <c r="I28" s="133"/>
      <c r="J28" s="100"/>
      <c r="K28" s="101"/>
      <c r="N28" s="161"/>
      <c r="O28" s="162" t="s">
        <v>139</v>
      </c>
      <c r="P28" s="162"/>
      <c r="Q28" s="162"/>
      <c r="R28" s="162"/>
      <c r="S28" s="162"/>
      <c r="T28" s="162"/>
      <c r="U28" s="162"/>
      <c r="V28" s="162"/>
      <c r="W28" s="163"/>
    </row>
    <row r="29" spans="4:24" ht="15.75" customHeight="1" x14ac:dyDescent="0.35">
      <c r="D29" s="208"/>
      <c r="E29" s="102" t="s">
        <v>16</v>
      </c>
      <c r="F29" s="103">
        <f>'Kp Calculations'!C6</f>
        <v>128.5859484109904</v>
      </c>
      <c r="G29" s="131">
        <f>Concentrations!E6</f>
        <v>0.96822781559353166</v>
      </c>
      <c r="H29" s="97"/>
      <c r="I29" s="133"/>
      <c r="J29" s="100"/>
      <c r="K29" s="101"/>
      <c r="N29" s="161"/>
      <c r="O29" s="162"/>
      <c r="P29" s="162"/>
      <c r="Q29" s="162"/>
      <c r="R29" s="162"/>
      <c r="S29" s="162"/>
      <c r="T29" s="162"/>
      <c r="U29" s="162"/>
      <c r="V29" s="162"/>
      <c r="W29" s="163"/>
    </row>
    <row r="30" spans="4:24" x14ac:dyDescent="0.25">
      <c r="D30" s="208"/>
      <c r="E30" s="102" t="s">
        <v>1</v>
      </c>
      <c r="F30" s="103">
        <f>'Kp Calculations'!C7</f>
        <v>6.2517064835906785E-2</v>
      </c>
      <c r="G30" s="131">
        <f>Concentrations!E7</f>
        <v>8.5148070019430335E-3</v>
      </c>
      <c r="H30" s="97"/>
      <c r="I30" s="133"/>
      <c r="J30" s="100"/>
      <c r="K30" s="101"/>
      <c r="N30" s="161"/>
      <c r="O30" s="164"/>
      <c r="P30" s="162"/>
      <c r="Q30" s="162"/>
      <c r="R30" s="162"/>
      <c r="S30" s="162"/>
      <c r="T30" s="162"/>
      <c r="U30" s="162"/>
      <c r="V30" s="162"/>
      <c r="W30" s="163"/>
    </row>
    <row r="31" spans="4:24" x14ac:dyDescent="0.25">
      <c r="D31" s="208"/>
      <c r="E31" s="102" t="s">
        <v>6</v>
      </c>
      <c r="F31" s="103">
        <f>'Kp Calculations'!C8</f>
        <v>3.2106878080389242E-2</v>
      </c>
      <c r="G31" s="131">
        <f>Concentrations!E8</f>
        <v>2.0741576280105737E-3</v>
      </c>
      <c r="H31" s="97"/>
      <c r="I31" s="133"/>
      <c r="J31" s="100"/>
      <c r="K31" s="101"/>
      <c r="N31" s="161"/>
      <c r="O31" s="176" t="s">
        <v>140</v>
      </c>
      <c r="P31" s="176"/>
      <c r="Q31" s="176"/>
      <c r="R31" s="176"/>
      <c r="S31" s="176"/>
      <c r="T31" s="176"/>
      <c r="U31" s="176"/>
      <c r="V31" s="176"/>
      <c r="W31" s="165"/>
    </row>
    <row r="32" spans="4:24" x14ac:dyDescent="0.25">
      <c r="D32" s="208"/>
      <c r="E32" s="102" t="s">
        <v>5</v>
      </c>
      <c r="F32" s="103">
        <f>'Kp Calculations'!C9</f>
        <v>1.9024701240165049E-2</v>
      </c>
      <c r="G32" s="131">
        <f>Concentrations!E9</f>
        <v>7.2008460410212787E-4</v>
      </c>
      <c r="H32" s="97"/>
      <c r="I32" s="133"/>
      <c r="J32" s="100"/>
      <c r="K32" s="101"/>
      <c r="N32" s="161"/>
      <c r="O32" s="176"/>
      <c r="P32" s="176"/>
      <c r="Q32" s="176"/>
      <c r="R32" s="176"/>
      <c r="S32" s="176"/>
      <c r="T32" s="176"/>
      <c r="U32" s="176"/>
      <c r="V32" s="176"/>
      <c r="W32" s="165"/>
    </row>
    <row r="33" spans="4:23" x14ac:dyDescent="0.25">
      <c r="D33" s="208"/>
      <c r="E33" s="102" t="s">
        <v>2</v>
      </c>
      <c r="F33" s="103">
        <f>'Kp Calculations'!C10</f>
        <v>0.91000502753960344</v>
      </c>
      <c r="G33" s="131">
        <f>Concentrations!E10</f>
        <v>3.4347927759850977E-3</v>
      </c>
      <c r="H33" s="97"/>
      <c r="I33" s="133"/>
      <c r="J33" s="100"/>
      <c r="K33" s="101"/>
      <c r="N33" s="161"/>
      <c r="O33" s="177" t="s">
        <v>141</v>
      </c>
      <c r="P33" s="177"/>
      <c r="Q33" s="177"/>
      <c r="R33" s="177"/>
      <c r="S33" s="177"/>
      <c r="T33" s="177"/>
      <c r="U33" s="177"/>
      <c r="V33" s="166"/>
      <c r="W33" s="165"/>
    </row>
    <row r="34" spans="4:23" x14ac:dyDescent="0.25">
      <c r="D34" s="208"/>
      <c r="E34" s="102" t="s">
        <v>4</v>
      </c>
      <c r="F34" s="103" t="s">
        <v>70</v>
      </c>
      <c r="G34" s="131">
        <f>Concentrations!E11</f>
        <v>9.8885206168110428E-3</v>
      </c>
      <c r="H34" s="97"/>
      <c r="I34" s="133"/>
      <c r="J34" s="100"/>
      <c r="K34" s="101"/>
      <c r="N34" s="161"/>
      <c r="O34" s="177"/>
      <c r="P34" s="177"/>
      <c r="Q34" s="177"/>
      <c r="R34" s="177"/>
      <c r="S34" s="177"/>
      <c r="T34" s="177"/>
      <c r="U34" s="177"/>
      <c r="V34" s="162"/>
      <c r="W34" s="163"/>
    </row>
    <row r="35" spans="4:23" x14ac:dyDescent="0.25">
      <c r="D35" s="208"/>
      <c r="E35" s="102" t="s">
        <v>3</v>
      </c>
      <c r="F35" s="103" t="s">
        <v>70</v>
      </c>
      <c r="G35" s="131">
        <f>Concentrations!E12</f>
        <v>2.8810864017521167E-2</v>
      </c>
      <c r="H35" s="97"/>
      <c r="I35" s="133"/>
      <c r="J35" s="100"/>
      <c r="K35" s="101"/>
      <c r="N35" s="161"/>
      <c r="O35" s="177"/>
      <c r="P35" s="177"/>
      <c r="Q35" s="177"/>
      <c r="R35" s="177"/>
      <c r="S35" s="177"/>
      <c r="T35" s="177"/>
      <c r="U35" s="177"/>
      <c r="V35" s="162"/>
      <c r="W35" s="163"/>
    </row>
    <row r="36" spans="4:23" ht="15.75" thickBot="1" x14ac:dyDescent="0.3">
      <c r="D36" s="208"/>
      <c r="E36" s="104" t="s">
        <v>48</v>
      </c>
      <c r="F36" s="105" t="s">
        <v>70</v>
      </c>
      <c r="G36" s="132">
        <f>Concentrations!E13</f>
        <v>1.8757060895781796</v>
      </c>
      <c r="H36" s="97"/>
      <c r="I36" s="133"/>
      <c r="J36" s="100"/>
      <c r="K36" s="101"/>
      <c r="N36" s="161"/>
      <c r="O36" s="178" t="s">
        <v>142</v>
      </c>
      <c r="P36" s="178"/>
      <c r="Q36" s="178"/>
      <c r="R36" s="178"/>
      <c r="S36" s="178"/>
      <c r="T36" s="178"/>
      <c r="U36" s="178"/>
      <c r="V36" s="162"/>
      <c r="W36" s="163"/>
    </row>
    <row r="37" spans="4:23" x14ac:dyDescent="0.25">
      <c r="D37" s="182">
        <v>7</v>
      </c>
      <c r="E37" s="209" t="s">
        <v>51</v>
      </c>
      <c r="F37" s="210"/>
      <c r="G37" s="210"/>
      <c r="H37" s="198">
        <f>E541/10</f>
        <v>1</v>
      </c>
      <c r="I37" s="133"/>
      <c r="J37" s="100"/>
      <c r="K37" s="101"/>
      <c r="N37" s="161"/>
      <c r="O37" s="178"/>
      <c r="P37" s="178"/>
      <c r="Q37" s="178"/>
      <c r="R37" s="178"/>
      <c r="S37" s="178"/>
      <c r="T37" s="178"/>
      <c r="U37" s="178"/>
      <c r="V37" s="162"/>
      <c r="W37" s="163"/>
    </row>
    <row r="38" spans="4:23" x14ac:dyDescent="0.25">
      <c r="D38" s="182"/>
      <c r="E38" s="202"/>
      <c r="F38" s="203"/>
      <c r="G38" s="203"/>
      <c r="H38" s="198"/>
      <c r="I38" s="133"/>
      <c r="J38" s="100"/>
      <c r="K38" s="101"/>
      <c r="N38" s="161"/>
      <c r="O38" s="162"/>
      <c r="P38" s="162"/>
      <c r="Q38" s="162"/>
      <c r="R38" s="162"/>
      <c r="S38" s="162"/>
      <c r="T38" s="162"/>
      <c r="U38" s="162"/>
      <c r="V38" s="162"/>
      <c r="W38" s="163"/>
    </row>
    <row r="39" spans="4:23" ht="18" customHeight="1" x14ac:dyDescent="0.25">
      <c r="D39" s="182">
        <v>8</v>
      </c>
      <c r="E39" s="202" t="s">
        <v>67</v>
      </c>
      <c r="F39" s="203"/>
      <c r="G39" s="203"/>
      <c r="H39" s="198">
        <v>298.14999999999998</v>
      </c>
      <c r="I39" s="197" t="s">
        <v>121</v>
      </c>
      <c r="J39" s="100"/>
      <c r="K39" s="101"/>
      <c r="N39" s="161"/>
      <c r="O39" s="162"/>
      <c r="P39" s="162"/>
      <c r="Q39" s="162"/>
      <c r="R39" s="162"/>
      <c r="S39" s="162"/>
      <c r="T39" s="162"/>
      <c r="U39" s="162"/>
      <c r="V39" s="162"/>
      <c r="W39" s="163"/>
    </row>
    <row r="40" spans="4:23" ht="16.5" customHeight="1" x14ac:dyDescent="0.25">
      <c r="D40" s="182"/>
      <c r="E40" s="202"/>
      <c r="F40" s="203"/>
      <c r="G40" s="203"/>
      <c r="H40" s="198"/>
      <c r="I40" s="197"/>
      <c r="J40" s="100"/>
      <c r="K40" s="101"/>
      <c r="N40" s="161"/>
      <c r="O40" s="162"/>
      <c r="P40" s="162"/>
      <c r="Q40" s="162"/>
      <c r="R40" s="162"/>
      <c r="S40" s="162"/>
      <c r="T40" s="162"/>
      <c r="U40" s="162"/>
      <c r="V40" s="162"/>
      <c r="W40" s="163"/>
    </row>
    <row r="41" spans="4:23" ht="18" customHeight="1" x14ac:dyDescent="0.25">
      <c r="D41" s="201">
        <v>9</v>
      </c>
      <c r="E41" s="199" t="s">
        <v>68</v>
      </c>
      <c r="F41" s="200"/>
      <c r="G41" s="200"/>
      <c r="H41" s="198">
        <v>298.14999999999998</v>
      </c>
      <c r="I41" s="197" t="s">
        <v>121</v>
      </c>
      <c r="J41" s="100"/>
      <c r="K41" s="101"/>
      <c r="N41" s="161"/>
      <c r="O41" s="162"/>
      <c r="P41" s="162"/>
      <c r="Q41" s="162"/>
      <c r="R41" s="162"/>
      <c r="S41" s="162"/>
      <c r="T41" s="162"/>
      <c r="U41" s="162"/>
      <c r="V41" s="162"/>
      <c r="W41" s="163"/>
    </row>
    <row r="42" spans="4:23" ht="15.75" thickBot="1" x14ac:dyDescent="0.3">
      <c r="D42" s="201"/>
      <c r="E42" s="199"/>
      <c r="F42" s="200"/>
      <c r="G42" s="200"/>
      <c r="H42" s="198"/>
      <c r="I42" s="197"/>
      <c r="J42" s="100"/>
      <c r="K42" s="101"/>
      <c r="N42" s="167"/>
      <c r="O42" s="168"/>
      <c r="P42" s="168"/>
      <c r="Q42" s="168"/>
      <c r="R42" s="168"/>
      <c r="S42" s="168"/>
      <c r="T42" s="168"/>
      <c r="U42" s="168"/>
      <c r="V42" s="168"/>
      <c r="W42" s="169"/>
    </row>
    <row r="43" spans="4:23" ht="18" customHeight="1" x14ac:dyDescent="0.25">
      <c r="D43" s="182">
        <v>10</v>
      </c>
      <c r="E43" s="202" t="s">
        <v>69</v>
      </c>
      <c r="F43" s="203"/>
      <c r="G43" s="203"/>
      <c r="H43" s="198">
        <v>500</v>
      </c>
      <c r="I43" s="197" t="s">
        <v>121</v>
      </c>
      <c r="J43" s="100"/>
      <c r="K43" s="101"/>
      <c r="N43" s="149"/>
      <c r="O43" s="157"/>
      <c r="P43" s="157"/>
      <c r="Q43" s="157"/>
      <c r="R43" s="157"/>
      <c r="S43" s="157"/>
      <c r="T43" s="157"/>
      <c r="U43" s="157"/>
      <c r="V43" s="157"/>
      <c r="W43" s="149"/>
    </row>
    <row r="44" spans="4:23" ht="15.75" thickBot="1" x14ac:dyDescent="0.3">
      <c r="D44" s="182"/>
      <c r="E44" s="202"/>
      <c r="F44" s="203"/>
      <c r="G44" s="203"/>
      <c r="H44" s="198"/>
      <c r="I44" s="197"/>
      <c r="J44" s="100"/>
      <c r="K44" s="101"/>
      <c r="N44" s="149"/>
      <c r="O44" s="157"/>
      <c r="P44" s="157"/>
      <c r="Q44" s="157"/>
      <c r="R44" s="157"/>
      <c r="S44" s="157"/>
      <c r="T44" s="157"/>
      <c r="U44" s="157"/>
      <c r="V44" s="157"/>
      <c r="W44" s="149"/>
    </row>
    <row r="45" spans="4:23" x14ac:dyDescent="0.25">
      <c r="D45" s="182">
        <v>11</v>
      </c>
      <c r="E45" s="224" t="s">
        <v>143</v>
      </c>
      <c r="F45" s="225"/>
      <c r="G45" s="225"/>
      <c r="H45" s="136"/>
      <c r="I45" s="179"/>
      <c r="J45" s="134" t="s">
        <v>119</v>
      </c>
      <c r="K45" s="135" t="s">
        <v>126</v>
      </c>
      <c r="N45" s="149"/>
      <c r="O45" s="157"/>
      <c r="P45" s="157"/>
      <c r="Q45" s="157"/>
      <c r="R45" s="157"/>
      <c r="S45" s="157"/>
      <c r="T45" s="157"/>
      <c r="U45" s="157"/>
      <c r="V45" s="157"/>
      <c r="W45" s="149"/>
    </row>
    <row r="46" spans="4:23" x14ac:dyDescent="0.25">
      <c r="D46" s="182"/>
      <c r="E46" s="226"/>
      <c r="F46" s="227"/>
      <c r="G46" s="227"/>
      <c r="H46" s="138">
        <v>0</v>
      </c>
      <c r="I46" s="180"/>
      <c r="J46" s="106">
        <v>0</v>
      </c>
      <c r="K46" s="107" t="s">
        <v>1</v>
      </c>
      <c r="N46" s="149"/>
      <c r="O46" s="157"/>
      <c r="P46" s="157"/>
      <c r="Q46" s="157"/>
      <c r="R46" s="157"/>
      <c r="S46" s="157"/>
      <c r="T46" s="157"/>
      <c r="U46" s="157"/>
      <c r="V46" s="157"/>
      <c r="W46" s="149"/>
    </row>
    <row r="47" spans="4:23" ht="15.75" thickBot="1" x14ac:dyDescent="0.3">
      <c r="D47" s="183"/>
      <c r="E47" s="228"/>
      <c r="F47" s="229"/>
      <c r="G47" s="229"/>
      <c r="H47" s="137"/>
      <c r="I47" s="181"/>
      <c r="J47" s="108">
        <v>1</v>
      </c>
      <c r="K47" s="109" t="s">
        <v>124</v>
      </c>
      <c r="N47" s="149"/>
      <c r="O47" s="157"/>
      <c r="P47" s="157"/>
      <c r="Q47" s="157"/>
      <c r="R47" s="157"/>
      <c r="S47" s="157"/>
      <c r="T47" s="157"/>
      <c r="U47" s="157"/>
      <c r="V47" s="157"/>
      <c r="W47" s="149"/>
    </row>
    <row r="48" spans="4:23" x14ac:dyDescent="0.25">
      <c r="N48" s="149"/>
      <c r="O48" s="157"/>
      <c r="P48" s="157"/>
      <c r="Q48" s="157"/>
      <c r="R48" s="157"/>
      <c r="S48" s="157"/>
      <c r="T48" s="157"/>
      <c r="U48" s="157"/>
      <c r="V48" s="157"/>
      <c r="W48" s="149"/>
    </row>
    <row r="49" spans="14:23" x14ac:dyDescent="0.25">
      <c r="N49" s="149"/>
      <c r="O49" s="149"/>
      <c r="P49" s="149"/>
      <c r="Q49" s="149"/>
      <c r="R49" s="149"/>
      <c r="S49" s="149"/>
      <c r="T49" s="149"/>
      <c r="U49" s="149"/>
      <c r="V49" s="149"/>
      <c r="W49" s="149"/>
    </row>
    <row r="50" spans="14:23" x14ac:dyDescent="0.25">
      <c r="N50" s="149"/>
      <c r="O50" s="149"/>
      <c r="P50" s="149"/>
      <c r="Q50" s="149"/>
      <c r="R50" s="149"/>
      <c r="S50" s="149"/>
      <c r="T50" s="149"/>
      <c r="U50" s="149"/>
      <c r="V50" s="149"/>
      <c r="W50" s="149"/>
    </row>
    <row r="51" spans="14:23" x14ac:dyDescent="0.25">
      <c r="N51" s="149"/>
      <c r="O51" s="149"/>
      <c r="P51" s="149"/>
      <c r="Q51" s="149"/>
      <c r="R51" s="149"/>
      <c r="S51" s="149"/>
      <c r="T51" s="149"/>
      <c r="U51" s="149"/>
      <c r="V51" s="149"/>
      <c r="W51" s="149"/>
    </row>
    <row r="52" spans="14:23" x14ac:dyDescent="0.25">
      <c r="N52" s="149"/>
      <c r="O52" s="149"/>
      <c r="P52" s="149"/>
      <c r="Q52" s="149"/>
      <c r="R52" s="149"/>
      <c r="S52" s="149"/>
      <c r="T52" s="149"/>
      <c r="U52" s="149"/>
      <c r="V52" s="149"/>
      <c r="W52" s="149"/>
    </row>
    <row r="53" spans="14:23" x14ac:dyDescent="0.25">
      <c r="N53" s="149"/>
      <c r="O53" s="149"/>
      <c r="P53" s="149"/>
      <c r="Q53" s="149"/>
      <c r="R53" s="149"/>
      <c r="S53" s="149"/>
      <c r="T53" s="149"/>
      <c r="U53" s="149"/>
      <c r="V53" s="149"/>
      <c r="W53" s="149"/>
    </row>
    <row r="95" spans="4:5" x14ac:dyDescent="0.25">
      <c r="D95">
        <v>0</v>
      </c>
      <c r="E95">
        <v>1</v>
      </c>
    </row>
    <row r="541" spans="5:5" x14ac:dyDescent="0.25">
      <c r="E541">
        <v>10</v>
      </c>
    </row>
  </sheetData>
  <mergeCells count="53">
    <mergeCell ref="H7:H8"/>
    <mergeCell ref="I7:I8"/>
    <mergeCell ref="D7:D17"/>
    <mergeCell ref="F11:G11"/>
    <mergeCell ref="F12:G12"/>
    <mergeCell ref="F13:G13"/>
    <mergeCell ref="F14:G14"/>
    <mergeCell ref="F15:G15"/>
    <mergeCell ref="E7:E8"/>
    <mergeCell ref="F7:G8"/>
    <mergeCell ref="F9:G9"/>
    <mergeCell ref="F10:G10"/>
    <mergeCell ref="D18:D20"/>
    <mergeCell ref="I18:I20"/>
    <mergeCell ref="F16:G16"/>
    <mergeCell ref="F17:G17"/>
    <mergeCell ref="D21:D22"/>
    <mergeCell ref="E21:G22"/>
    <mergeCell ref="H21:H22"/>
    <mergeCell ref="I21:I22"/>
    <mergeCell ref="E18:G20"/>
    <mergeCell ref="D3:K6"/>
    <mergeCell ref="J7:K8"/>
    <mergeCell ref="I41:I42"/>
    <mergeCell ref="H41:H42"/>
    <mergeCell ref="E41:G42"/>
    <mergeCell ref="D41:D42"/>
    <mergeCell ref="H37:H38"/>
    <mergeCell ref="D39:D40"/>
    <mergeCell ref="E39:G40"/>
    <mergeCell ref="D23:D24"/>
    <mergeCell ref="E23:G24"/>
    <mergeCell ref="H23:H24"/>
    <mergeCell ref="I23:I24"/>
    <mergeCell ref="H39:H40"/>
    <mergeCell ref="I39:I40"/>
    <mergeCell ref="E25:G26"/>
    <mergeCell ref="O31:V32"/>
    <mergeCell ref="O33:U35"/>
    <mergeCell ref="O36:U37"/>
    <mergeCell ref="I45:I47"/>
    <mergeCell ref="D45:D47"/>
    <mergeCell ref="D43:D44"/>
    <mergeCell ref="E43:G44"/>
    <mergeCell ref="H43:H44"/>
    <mergeCell ref="I43:I44"/>
    <mergeCell ref="D25:D36"/>
    <mergeCell ref="E37:G38"/>
    <mergeCell ref="D37:D38"/>
    <mergeCell ref="E27:E28"/>
    <mergeCell ref="F27:F28"/>
    <mergeCell ref="G27:G28"/>
    <mergeCell ref="E45:G47"/>
  </mergeCells>
  <pageMargins left="0.7" right="0.7" top="0.75" bottom="0.75" header="0.3" footer="0.3"/>
  <pageSetup orientation="portrait" horizontalDpi="4294967293" verticalDpi="0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pinner 3">
              <controlPr defaultSize="0" autoPict="0">
                <anchor moveWithCells="1" sizeWithCells="1">
                  <from>
                    <xdr:col>8</xdr:col>
                    <xdr:colOff>190500</xdr:colOff>
                    <xdr:row>44</xdr:row>
                    <xdr:rowOff>142875</xdr:rowOff>
                  </from>
                  <to>
                    <xdr:col>8</xdr:col>
                    <xdr:colOff>381000</xdr:colOff>
                    <xdr:row>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Scroll Bar 5">
              <controlPr defaultSize="0" autoPict="0">
                <anchor moveWithCells="1">
                  <from>
                    <xdr:col>9</xdr:col>
                    <xdr:colOff>28575</xdr:colOff>
                    <xdr:row>36</xdr:row>
                    <xdr:rowOff>76200</xdr:rowOff>
                  </from>
                  <to>
                    <xdr:col>10</xdr:col>
                    <xdr:colOff>847725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Scroll Bar 6">
              <controlPr defaultSize="0" autoPict="0">
                <anchor moveWithCells="1">
                  <from>
                    <xdr:col>9</xdr:col>
                    <xdr:colOff>47625</xdr:colOff>
                    <xdr:row>22</xdr:row>
                    <xdr:rowOff>85725</xdr:rowOff>
                  </from>
                  <to>
                    <xdr:col>10</xdr:col>
                    <xdr:colOff>866775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ChemXcal">
                <anchor moveWithCells="1" sizeWithCells="1">
                  <from>
                    <xdr:col>9</xdr:col>
                    <xdr:colOff>76200</xdr:colOff>
                    <xdr:row>29</xdr:row>
                    <xdr:rowOff>38100</xdr:rowOff>
                  </from>
                  <to>
                    <xdr:col>10</xdr:col>
                    <xdr:colOff>800100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main">
                <anchor moveWithCells="1" sizeWithCells="1">
                  <from>
                    <xdr:col>9</xdr:col>
                    <xdr:colOff>133350</xdr:colOff>
                    <xdr:row>17</xdr:row>
                    <xdr:rowOff>19050</xdr:rowOff>
                  </from>
                  <to>
                    <xdr:col>10</xdr:col>
                    <xdr:colOff>742950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5:I29"/>
  <sheetViews>
    <sheetView showGridLines="0" topLeftCell="A6" workbookViewId="0">
      <selection activeCell="D35" sqref="D35"/>
    </sheetView>
  </sheetViews>
  <sheetFormatPr defaultRowHeight="15" x14ac:dyDescent="0.25"/>
  <cols>
    <col min="3" max="3" width="16.42578125" customWidth="1"/>
    <col min="4" max="4" width="18.42578125" customWidth="1"/>
  </cols>
  <sheetData>
    <row r="5" spans="2:9" ht="15.75" thickBot="1" x14ac:dyDescent="0.3"/>
    <row r="6" spans="2:9" ht="15" customHeight="1" x14ac:dyDescent="0.25">
      <c r="B6" s="252" t="s">
        <v>57</v>
      </c>
      <c r="C6" s="253"/>
      <c r="D6" s="254"/>
    </row>
    <row r="7" spans="2:9" ht="15.75" thickBot="1" x14ac:dyDescent="0.3">
      <c r="B7" s="255"/>
      <c r="C7" s="256"/>
      <c r="D7" s="257"/>
    </row>
    <row r="8" spans="2:9" ht="15.75" thickBot="1" x14ac:dyDescent="0.3">
      <c r="B8" s="10" t="s">
        <v>84</v>
      </c>
      <c r="C8" s="238">
        <f>(Launchpad!H37*'Cp,Enthalpy,Entropy Calculation'!M25*Launchpad!H41*Launchpad!H21)+ (0.5*'Cp,Enthalpy,Entropy Calculation'!M24*Launchpad!H43*Launchpad!H21)+(1.88*'Cp,Enthalpy,Entropy Calculation'!M26*Launchpad!H43*Launchpad!H21) + (Launchpad!H46*'Energy Equation'!I23*Launchpad!H21*'Cp,Enthalpy,Entropy Calculation'!M27)</f>
        <v>14174.881350439769</v>
      </c>
      <c r="D8" s="239"/>
    </row>
    <row r="11" spans="2:9" ht="15.75" thickBot="1" x14ac:dyDescent="0.3"/>
    <row r="12" spans="2:9" ht="15" customHeight="1" x14ac:dyDescent="0.25">
      <c r="B12" s="252" t="s">
        <v>63</v>
      </c>
      <c r="C12" s="253"/>
      <c r="D12" s="254"/>
      <c r="F12" s="240" t="s">
        <v>137</v>
      </c>
      <c r="G12" s="241"/>
      <c r="H12" s="241"/>
      <c r="I12" s="242"/>
    </row>
    <row r="13" spans="2:9" x14ac:dyDescent="0.25">
      <c r="B13" s="255"/>
      <c r="C13" s="256"/>
      <c r="D13" s="257"/>
      <c r="F13" s="243"/>
      <c r="G13" s="244"/>
      <c r="H13" s="244"/>
      <c r="I13" s="245"/>
    </row>
    <row r="14" spans="2:9" ht="15.75" thickBot="1" x14ac:dyDescent="0.3">
      <c r="B14" s="258"/>
      <c r="C14" s="259"/>
      <c r="D14" s="260"/>
      <c r="F14" s="243"/>
      <c r="G14" s="244"/>
      <c r="H14" s="244"/>
      <c r="I14" s="245"/>
    </row>
    <row r="15" spans="2:9" ht="18.75" thickBot="1" x14ac:dyDescent="0.4">
      <c r="B15" s="124" t="s">
        <v>7</v>
      </c>
      <c r="C15" s="125" t="s">
        <v>16</v>
      </c>
      <c r="D15" s="143">
        <f>Concentrations!E6*'Cp,Enthalpy,Entropy Calculation'!M5</f>
        <v>-6.3304830197137134</v>
      </c>
      <c r="F15" s="246"/>
      <c r="G15" s="247"/>
      <c r="H15" s="247"/>
      <c r="I15" s="248"/>
    </row>
    <row r="16" spans="2:9" x14ac:dyDescent="0.25">
      <c r="B16" s="126" t="s">
        <v>8</v>
      </c>
      <c r="C16" s="127" t="s">
        <v>1</v>
      </c>
      <c r="D16" s="144">
        <f>Concentrations!E7*'Cp,Enthalpy,Entropy Calculation'!M6</f>
        <v>6.7985006059110759E-2</v>
      </c>
      <c r="F16" s="148"/>
      <c r="G16" s="149"/>
      <c r="H16" s="149"/>
      <c r="I16" s="150"/>
    </row>
    <row r="17" spans="2:9" x14ac:dyDescent="0.25">
      <c r="B17" s="126" t="s">
        <v>9</v>
      </c>
      <c r="C17" s="127" t="s">
        <v>6</v>
      </c>
      <c r="D17" s="144">
        <f>Concentrations!E8*'Cp,Enthalpy,Entropy Calculation'!M7</f>
        <v>2.585172686594497E-2</v>
      </c>
      <c r="F17" s="148"/>
      <c r="G17" s="149"/>
      <c r="H17" s="149"/>
      <c r="I17" s="150"/>
    </row>
    <row r="18" spans="2:9" x14ac:dyDescent="0.25">
      <c r="B18" s="126" t="s">
        <v>10</v>
      </c>
      <c r="C18" s="127" t="s">
        <v>5</v>
      </c>
      <c r="D18" s="144">
        <f>Concentrations!E9*'Cp,Enthalpy,Entropy Calculation'!M8</f>
        <v>1.0043504496503796E-2</v>
      </c>
      <c r="F18" s="148"/>
      <c r="G18" s="149"/>
      <c r="H18" s="149"/>
      <c r="I18" s="150"/>
    </row>
    <row r="19" spans="2:9" x14ac:dyDescent="0.25">
      <c r="B19" s="126" t="s">
        <v>11</v>
      </c>
      <c r="C19" s="127" t="s">
        <v>2</v>
      </c>
      <c r="D19" s="144">
        <f>Concentrations!E10*'Cp,Enthalpy,Entropy Calculation'!M9</f>
        <v>1.8244796509747273E-2</v>
      </c>
      <c r="F19" s="148"/>
      <c r="G19" s="149"/>
      <c r="H19" s="149"/>
      <c r="I19" s="150"/>
    </row>
    <row r="20" spans="2:9" x14ac:dyDescent="0.25">
      <c r="B20" s="126" t="s">
        <v>12</v>
      </c>
      <c r="C20" s="127" t="s">
        <v>4</v>
      </c>
      <c r="D20" s="144">
        <f>Concentrations!E11*'Cp,Enthalpy,Entropy Calculation'!M10</f>
        <v>3.7488822166461495E-2</v>
      </c>
      <c r="F20" s="148"/>
      <c r="G20" s="149"/>
      <c r="H20" s="149"/>
      <c r="I20" s="150"/>
    </row>
    <row r="21" spans="2:9" x14ac:dyDescent="0.25">
      <c r="B21" s="126" t="s">
        <v>13</v>
      </c>
      <c r="C21" s="127" t="s">
        <v>3</v>
      </c>
      <c r="D21" s="144">
        <f>Concentrations!E12*'Cp,Enthalpy,Entropy Calculation'!M11</f>
        <v>9.8291828667551873E-2</v>
      </c>
      <c r="F21" s="148"/>
      <c r="G21" s="149"/>
      <c r="H21" s="149"/>
      <c r="I21" s="150"/>
    </row>
    <row r="22" spans="2:9" ht="15.75" thickBot="1" x14ac:dyDescent="0.3">
      <c r="B22" s="126" t="s">
        <v>47</v>
      </c>
      <c r="C22" s="127" t="s">
        <v>48</v>
      </c>
      <c r="D22" s="144">
        <f>Concentrations!E13*'Cp,Enthalpy,Entropy Calculation'!M12</f>
        <v>6.740050305601736</v>
      </c>
      <c r="F22" s="148"/>
      <c r="G22" s="149"/>
      <c r="H22" s="149"/>
      <c r="I22" s="150"/>
    </row>
    <row r="23" spans="2:9" ht="15.75" thickBot="1" x14ac:dyDescent="0.3">
      <c r="B23" s="128" t="s">
        <v>98</v>
      </c>
      <c r="C23" s="129" t="s">
        <v>91</v>
      </c>
      <c r="D23" s="120">
        <f>I23*'Cp,Enthalpy,Entropy Calculation'!M13*Launchpad!H46</f>
        <v>0</v>
      </c>
      <c r="F23" s="249" t="s">
        <v>92</v>
      </c>
      <c r="G23" s="250"/>
      <c r="H23" s="251"/>
      <c r="I23" s="130">
        <v>0</v>
      </c>
    </row>
    <row r="24" spans="2:9" ht="15.75" thickBot="1" x14ac:dyDescent="0.3">
      <c r="B24" s="261" t="s">
        <v>64</v>
      </c>
      <c r="C24" s="262"/>
      <c r="D24" s="145">
        <f>SUM(D15:D23)</f>
        <v>0.66747297065334266</v>
      </c>
    </row>
    <row r="25" spans="2:9" ht="15.75" thickBot="1" x14ac:dyDescent="0.3">
      <c r="D25" s="146"/>
    </row>
    <row r="26" spans="2:9" ht="15.75" thickBot="1" x14ac:dyDescent="0.3">
      <c r="B26" s="263" t="s">
        <v>134</v>
      </c>
      <c r="C26" s="264"/>
      <c r="D26" s="147">
        <f>Launchpad!H21*Launchpad!H19*'Energy Equation'!D24</f>
        <v>14187.745495932744</v>
      </c>
    </row>
    <row r="27" spans="2:9" x14ac:dyDescent="0.25">
      <c r="D27" s="146"/>
    </row>
    <row r="28" spans="2:9" ht="15.75" thickBot="1" x14ac:dyDescent="0.3">
      <c r="D28" s="146"/>
    </row>
    <row r="29" spans="2:9" ht="15.75" thickBot="1" x14ac:dyDescent="0.3">
      <c r="B29" s="238" t="s">
        <v>65</v>
      </c>
      <c r="C29" s="239"/>
      <c r="D29" s="147">
        <f>D26-C8</f>
        <v>12.864145492974785</v>
      </c>
    </row>
  </sheetData>
  <mergeCells count="8">
    <mergeCell ref="B6:D7"/>
    <mergeCell ref="C8:D8"/>
    <mergeCell ref="B29:C29"/>
    <mergeCell ref="F12:I15"/>
    <mergeCell ref="F23:H23"/>
    <mergeCell ref="B12:D14"/>
    <mergeCell ref="B24:C24"/>
    <mergeCell ref="B26:C26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Ne">
                <anchor moveWithCells="1" sizeWithCells="1">
                  <from>
                    <xdr:col>5</xdr:col>
                    <xdr:colOff>85725</xdr:colOff>
                    <xdr:row>17</xdr:row>
                    <xdr:rowOff>190500</xdr:rowOff>
                  </from>
                  <to>
                    <xdr:col>8</xdr:col>
                    <xdr:colOff>504825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NeON">
                <anchor moveWithCells="1" sizeWithCells="1">
                  <from>
                    <xdr:col>5</xdr:col>
                    <xdr:colOff>76200</xdr:colOff>
                    <xdr:row>15</xdr:row>
                    <xdr:rowOff>76200</xdr:rowOff>
                  </from>
                  <to>
                    <xdr:col>6</xdr:col>
                    <xdr:colOff>504825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NeOFF">
                <anchor moveWithCells="1" sizeWithCells="1">
                  <from>
                    <xdr:col>7</xdr:col>
                    <xdr:colOff>114300</xdr:colOff>
                    <xdr:row>15</xdr:row>
                    <xdr:rowOff>76200</xdr:rowOff>
                  </from>
                  <to>
                    <xdr:col>8</xdr:col>
                    <xdr:colOff>428625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43DBD07-E638-4C78-A1B8-CEDF5780F231}">
            <xm:f>SUM(Launchpad!$H$46:$H$47) =0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" id="{2653F082-E6E8-47DE-A584-C9E5F167A386}">
            <xm:f>SUM(Launchpad!$H$46:$H$47) =1</xm:f>
            <x14:dxf>
              <fill>
                <patternFill>
                  <bgColor rgb="FF92D050"/>
                </patternFill>
              </fill>
            </x14:dxf>
          </x14:cfRule>
          <xm:sqref>B23:D23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B1:O27"/>
  <sheetViews>
    <sheetView zoomScale="70" zoomScaleNormal="70" workbookViewId="0">
      <selection activeCell="E6" sqref="E6:E13"/>
    </sheetView>
  </sheetViews>
  <sheetFormatPr defaultRowHeight="15" x14ac:dyDescent="0.25"/>
  <cols>
    <col min="3" max="3" width="24.28515625" customWidth="1"/>
    <col min="4" max="4" width="21" customWidth="1"/>
    <col min="5" max="5" width="27.42578125" customWidth="1"/>
    <col min="6" max="6" width="13.7109375" customWidth="1"/>
    <col min="7" max="7" width="12" bestFit="1" customWidth="1"/>
    <col min="8" max="8" width="12.5703125" bestFit="1" customWidth="1"/>
  </cols>
  <sheetData>
    <row r="1" spans="2:15" ht="15.75" thickBot="1" x14ac:dyDescent="0.3"/>
    <row r="2" spans="2:15" ht="15.75" thickBot="1" x14ac:dyDescent="0.3">
      <c r="B2" s="76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8"/>
    </row>
    <row r="3" spans="2:15" ht="15" customHeight="1" thickBot="1" x14ac:dyDescent="0.3">
      <c r="B3" s="65"/>
      <c r="C3" s="267" t="s">
        <v>118</v>
      </c>
      <c r="D3" s="274" t="s">
        <v>60</v>
      </c>
      <c r="E3" s="275"/>
      <c r="F3" s="65"/>
      <c r="G3" s="270" t="s">
        <v>114</v>
      </c>
      <c r="H3" s="271"/>
      <c r="I3" s="271"/>
      <c r="J3" s="271"/>
      <c r="K3" s="271"/>
      <c r="L3" s="271"/>
      <c r="M3" s="271"/>
      <c r="N3" s="272"/>
      <c r="O3" s="80"/>
    </row>
    <row r="4" spans="2:15" ht="15.75" thickBot="1" x14ac:dyDescent="0.3">
      <c r="B4" s="65"/>
      <c r="C4" s="268"/>
      <c r="D4" s="276"/>
      <c r="E4" s="277"/>
      <c r="F4" s="65"/>
      <c r="G4" s="63" t="s">
        <v>88</v>
      </c>
      <c r="H4" s="270">
        <f>Launchpad!H19</f>
        <v>2556.640625</v>
      </c>
      <c r="I4" s="271"/>
      <c r="J4" s="271"/>
      <c r="K4" s="271"/>
      <c r="L4" s="271"/>
      <c r="M4" s="271"/>
      <c r="N4" s="272"/>
      <c r="O4" s="80"/>
    </row>
    <row r="5" spans="2:15" ht="15.75" thickBot="1" x14ac:dyDescent="0.3">
      <c r="B5" s="65"/>
      <c r="C5" s="269"/>
      <c r="D5" s="90" t="s">
        <v>99</v>
      </c>
      <c r="E5" s="60" t="s">
        <v>100</v>
      </c>
      <c r="F5" s="70"/>
      <c r="G5" s="64" t="s">
        <v>115</v>
      </c>
      <c r="H5" s="271">
        <f>Launchpad!H23</f>
        <v>20</v>
      </c>
      <c r="I5" s="271"/>
      <c r="J5" s="271"/>
      <c r="K5" s="271"/>
      <c r="L5" s="271"/>
      <c r="M5" s="271"/>
      <c r="N5" s="272"/>
      <c r="O5" s="80"/>
    </row>
    <row r="6" spans="2:15" ht="18" x14ac:dyDescent="0.35">
      <c r="B6" s="65"/>
      <c r="C6" s="66" t="s">
        <v>7</v>
      </c>
      <c r="D6" s="87" t="s">
        <v>16</v>
      </c>
      <c r="E6" s="93">
        <v>0.96822781559353166</v>
      </c>
      <c r="F6" s="70"/>
      <c r="G6" s="70"/>
      <c r="H6" s="70"/>
      <c r="I6" s="70"/>
      <c r="J6" s="79"/>
      <c r="K6" s="79"/>
      <c r="L6" s="79"/>
      <c r="M6" s="79"/>
      <c r="N6" s="79"/>
      <c r="O6" s="80"/>
    </row>
    <row r="7" spans="2:15" x14ac:dyDescent="0.25">
      <c r="B7" s="65"/>
      <c r="C7" s="67" t="s">
        <v>8</v>
      </c>
      <c r="D7" s="88" t="s">
        <v>1</v>
      </c>
      <c r="E7" s="93">
        <v>8.5148070019430335E-3</v>
      </c>
      <c r="F7" s="70"/>
      <c r="G7" s="70"/>
      <c r="H7" s="70"/>
      <c r="I7" s="70"/>
      <c r="J7" s="79"/>
      <c r="K7" s="79"/>
      <c r="L7" s="79"/>
      <c r="M7" s="79"/>
      <c r="N7" s="79"/>
      <c r="O7" s="80"/>
    </row>
    <row r="8" spans="2:15" x14ac:dyDescent="0.25">
      <c r="B8" s="65"/>
      <c r="C8" s="67" t="s">
        <v>9</v>
      </c>
      <c r="D8" s="88" t="s">
        <v>6</v>
      </c>
      <c r="E8" s="93">
        <v>2.0741576280105737E-3</v>
      </c>
      <c r="F8" s="70"/>
      <c r="G8" s="70"/>
      <c r="H8" s="70"/>
      <c r="I8" s="70"/>
      <c r="J8" s="79"/>
      <c r="K8" s="81"/>
      <c r="L8" s="79"/>
      <c r="M8" s="79"/>
      <c r="N8" s="79"/>
      <c r="O8" s="80"/>
    </row>
    <row r="9" spans="2:15" x14ac:dyDescent="0.25">
      <c r="B9" s="65"/>
      <c r="C9" s="67" t="s">
        <v>10</v>
      </c>
      <c r="D9" s="88" t="s">
        <v>5</v>
      </c>
      <c r="E9" s="93">
        <v>7.2008460410212787E-4</v>
      </c>
      <c r="F9" s="70"/>
      <c r="G9" s="70"/>
      <c r="H9" s="70"/>
      <c r="I9" s="70"/>
      <c r="J9" s="79"/>
      <c r="K9" s="79"/>
      <c r="L9" s="79"/>
      <c r="M9" s="79"/>
      <c r="N9" s="79"/>
      <c r="O9" s="80"/>
    </row>
    <row r="10" spans="2:15" x14ac:dyDescent="0.25">
      <c r="B10" s="65"/>
      <c r="C10" s="67" t="s">
        <v>11</v>
      </c>
      <c r="D10" s="88" t="s">
        <v>2</v>
      </c>
      <c r="E10" s="93">
        <v>3.4347927759850977E-3</v>
      </c>
      <c r="F10" s="70"/>
      <c r="G10" s="70"/>
      <c r="H10" s="70"/>
      <c r="I10" s="70"/>
      <c r="J10" s="79"/>
      <c r="K10" s="79"/>
      <c r="L10" s="79"/>
      <c r="M10" s="79"/>
      <c r="N10" s="79"/>
      <c r="O10" s="80"/>
    </row>
    <row r="11" spans="2:15" x14ac:dyDescent="0.25">
      <c r="B11" s="65"/>
      <c r="C11" s="67" t="s">
        <v>12</v>
      </c>
      <c r="D11" s="88" t="s">
        <v>4</v>
      </c>
      <c r="E11" s="93">
        <v>9.8885206168110428E-3</v>
      </c>
      <c r="F11" s="70"/>
      <c r="G11" s="70"/>
      <c r="H11" s="70"/>
      <c r="I11" s="70"/>
      <c r="J11" s="79"/>
      <c r="K11" s="79"/>
      <c r="L11" s="79"/>
      <c r="M11" s="79"/>
      <c r="N11" s="79"/>
      <c r="O11" s="80"/>
    </row>
    <row r="12" spans="2:15" x14ac:dyDescent="0.25">
      <c r="B12" s="65"/>
      <c r="C12" s="67" t="s">
        <v>13</v>
      </c>
      <c r="D12" s="88" t="s">
        <v>3</v>
      </c>
      <c r="E12" s="93">
        <v>2.8810864017521167E-2</v>
      </c>
      <c r="F12" s="70"/>
      <c r="G12" s="70"/>
      <c r="H12" s="70"/>
      <c r="I12" s="70"/>
      <c r="J12" s="79"/>
      <c r="K12" s="79"/>
      <c r="L12" s="79"/>
      <c r="M12" s="79"/>
      <c r="N12" s="79"/>
      <c r="O12" s="80"/>
    </row>
    <row r="13" spans="2:15" ht="15.75" thickBot="1" x14ac:dyDescent="0.3">
      <c r="B13" s="65"/>
      <c r="C13" s="68" t="s">
        <v>47</v>
      </c>
      <c r="D13" s="91" t="s">
        <v>48</v>
      </c>
      <c r="E13" s="93">
        <v>1.8757060895781796</v>
      </c>
      <c r="F13" s="70"/>
      <c r="G13" s="70"/>
      <c r="H13" s="70"/>
      <c r="I13" s="70"/>
      <c r="J13" s="79"/>
      <c r="K13" s="79"/>
      <c r="L13" s="79"/>
      <c r="M13" s="79"/>
      <c r="N13" s="79"/>
      <c r="O13" s="80"/>
    </row>
    <row r="14" spans="2:15" ht="15.75" thickBot="1" x14ac:dyDescent="0.3">
      <c r="B14" s="65"/>
      <c r="C14" s="69" t="s">
        <v>50</v>
      </c>
      <c r="D14" s="89" t="s">
        <v>49</v>
      </c>
      <c r="E14" s="92">
        <f>SUM(E6:E13)</f>
        <v>2.8973771318160844</v>
      </c>
      <c r="F14" s="70"/>
      <c r="G14" s="70"/>
      <c r="H14" s="70"/>
      <c r="I14" s="70"/>
      <c r="J14" s="79"/>
      <c r="K14" s="79"/>
      <c r="L14" s="79"/>
      <c r="M14" s="79"/>
      <c r="N14" s="79"/>
      <c r="O14" s="80"/>
    </row>
    <row r="15" spans="2:15" x14ac:dyDescent="0.25">
      <c r="B15" s="65"/>
      <c r="C15" s="70"/>
      <c r="D15" s="70"/>
      <c r="E15" s="70"/>
      <c r="F15" s="70"/>
      <c r="G15" s="70"/>
      <c r="H15" s="70"/>
      <c r="I15" s="70"/>
      <c r="J15" s="79"/>
      <c r="K15" s="79"/>
      <c r="L15" s="79"/>
      <c r="M15" s="79"/>
      <c r="N15" s="79"/>
      <c r="O15" s="80"/>
    </row>
    <row r="16" spans="2:15" x14ac:dyDescent="0.25">
      <c r="B16" s="65"/>
      <c r="C16" s="70"/>
      <c r="D16" s="70"/>
      <c r="E16" s="70"/>
      <c r="F16" s="70"/>
      <c r="G16" s="70"/>
      <c r="H16" s="70"/>
      <c r="I16" s="70"/>
      <c r="J16" s="79"/>
      <c r="K16" s="79"/>
      <c r="L16" s="79"/>
      <c r="M16" s="79"/>
      <c r="N16" s="79"/>
      <c r="O16" s="80"/>
    </row>
    <row r="17" spans="2:15" x14ac:dyDescent="0.25">
      <c r="B17" s="65"/>
      <c r="C17" s="61" t="s">
        <v>113</v>
      </c>
      <c r="D17" s="62" t="s">
        <v>101</v>
      </c>
      <c r="E17" s="62" t="s">
        <v>102</v>
      </c>
      <c r="F17" s="79"/>
      <c r="G17" s="273" t="s">
        <v>117</v>
      </c>
      <c r="H17" s="273"/>
      <c r="I17" s="273"/>
      <c r="J17" s="273"/>
      <c r="K17" s="273"/>
      <c r="L17" s="273"/>
      <c r="M17" s="273"/>
      <c r="N17" s="273"/>
      <c r="O17" s="80"/>
    </row>
    <row r="18" spans="2:15" ht="15" customHeight="1" x14ac:dyDescent="0.25">
      <c r="B18" s="65"/>
      <c r="C18" s="71" t="s">
        <v>105</v>
      </c>
      <c r="D18" s="72">
        <f>LN((E6*SQRT(E14))/(E12*SQRT(E11)*SQRT(Launchpad!H23))) - LN('Kp Calculations'!C6)</f>
        <v>3.4450003431807374E-4</v>
      </c>
      <c r="E18" s="72">
        <f t="shared" ref="E18:E25" si="0">D18*D18</f>
        <v>1.1868027364515399E-7</v>
      </c>
      <c r="F18" s="70"/>
      <c r="G18" s="273"/>
      <c r="H18" s="273"/>
      <c r="I18" s="273"/>
      <c r="J18" s="273"/>
      <c r="K18" s="273"/>
      <c r="L18" s="273"/>
      <c r="M18" s="273"/>
      <c r="N18" s="273"/>
      <c r="O18" s="80"/>
    </row>
    <row r="19" spans="2:15" x14ac:dyDescent="0.25">
      <c r="B19" s="65"/>
      <c r="C19" s="71" t="s">
        <v>106</v>
      </c>
      <c r="D19" s="72">
        <f>LN((E7)/(SQRT(E11)*SQRT(E13)))-LN('Kp Calculations'!C7)</f>
        <v>6.4870670517080953E-5</v>
      </c>
      <c r="E19" s="72">
        <f t="shared" si="0"/>
        <v>4.2082038933356763E-9</v>
      </c>
      <c r="F19" s="70"/>
      <c r="G19" s="273"/>
      <c r="H19" s="273"/>
      <c r="I19" s="273"/>
      <c r="J19" s="273"/>
      <c r="K19" s="273"/>
      <c r="L19" s="273"/>
      <c r="M19" s="273"/>
      <c r="N19" s="273"/>
      <c r="O19" s="80"/>
    </row>
    <row r="20" spans="2:15" x14ac:dyDescent="0.25">
      <c r="B20" s="65"/>
      <c r="C20" s="71" t="s">
        <v>107</v>
      </c>
      <c r="D20" s="72">
        <f>LN((E8*SQRT(Launchpad!H23))/(SQRT(E14)*SQRT(E12)))-LN('Kp Calculations'!C8)</f>
        <v>-5.060711895721326E-5</v>
      </c>
      <c r="E20" s="72">
        <f t="shared" si="0"/>
        <v>2.5610804891495338E-9</v>
      </c>
      <c r="F20" s="70"/>
      <c r="G20" s="273"/>
      <c r="H20" s="273"/>
      <c r="I20" s="273"/>
      <c r="J20" s="273"/>
      <c r="K20" s="273"/>
      <c r="L20" s="273"/>
      <c r="M20" s="273"/>
      <c r="N20" s="273"/>
      <c r="O20" s="80"/>
    </row>
    <row r="21" spans="2:15" x14ac:dyDescent="0.25">
      <c r="B21" s="65"/>
      <c r="C21" s="71" t="s">
        <v>108</v>
      </c>
      <c r="D21" s="72">
        <f>LN((E9*SQRT(Launchpad!H23))/(SQRT(E14)*SQRT(E11)))-LN('Kp Calculations'!C9)</f>
        <v>2.8787433388188788E-5</v>
      </c>
      <c r="E21" s="72">
        <f t="shared" si="0"/>
        <v>8.2871632107940655E-10</v>
      </c>
      <c r="F21" s="70"/>
      <c r="G21" s="273"/>
      <c r="H21" s="273"/>
      <c r="I21" s="273"/>
      <c r="J21" s="273"/>
      <c r="K21" s="273"/>
      <c r="L21" s="273"/>
      <c r="M21" s="273"/>
      <c r="N21" s="273"/>
      <c r="O21" s="80"/>
    </row>
    <row r="22" spans="2:15" x14ac:dyDescent="0.25">
      <c r="B22" s="65"/>
      <c r="C22" s="71" t="s">
        <v>109</v>
      </c>
      <c r="D22" s="72">
        <f>LN((SQRT(Launchpad!H23)*E10)/(SQRT(E12)*SQRT(E11)))-LN('Kp Calculations'!C10)</f>
        <v>6.4343351284690264E-5</v>
      </c>
      <c r="E22" s="72">
        <f>D22*D22</f>
        <v>4.1400668545450522E-9</v>
      </c>
      <c r="F22" s="70"/>
      <c r="G22" s="273"/>
      <c r="H22" s="273"/>
      <c r="I22" s="273"/>
      <c r="J22" s="273"/>
      <c r="K22" s="273"/>
      <c r="L22" s="273"/>
      <c r="M22" s="273"/>
      <c r="N22" s="273"/>
      <c r="O22" s="80"/>
    </row>
    <row r="23" spans="2:15" x14ac:dyDescent="0.25">
      <c r="B23" s="65"/>
      <c r="C23" s="73" t="s">
        <v>110</v>
      </c>
      <c r="D23" s="72">
        <f>(2*E11)+E6+E9+E10+E7-(1)</f>
        <v>6.7454120918397642E-4</v>
      </c>
      <c r="E23" s="72">
        <f t="shared" si="0"/>
        <v>4.5500584288738104E-7</v>
      </c>
      <c r="F23" s="70"/>
      <c r="G23" s="273"/>
      <c r="H23" s="273"/>
      <c r="I23" s="273"/>
      <c r="J23" s="273"/>
      <c r="K23" s="273"/>
      <c r="L23" s="273"/>
      <c r="M23" s="273"/>
      <c r="N23" s="273"/>
      <c r="O23" s="80"/>
    </row>
    <row r="24" spans="2:15" x14ac:dyDescent="0.25">
      <c r="B24" s="65"/>
      <c r="C24" s="73" t="s">
        <v>111</v>
      </c>
      <c r="D24" s="72">
        <f>(2*E12)+(2*E6)+E8+E10-(2*Launchpad!H37)</f>
        <v>-4.1369037389871188E-4</v>
      </c>
      <c r="E24" s="72">
        <f t="shared" si="0"/>
        <v>1.7113972545645604E-7</v>
      </c>
      <c r="F24" s="70"/>
      <c r="G24" s="273"/>
      <c r="H24" s="273"/>
      <c r="I24" s="273"/>
      <c r="J24" s="273"/>
      <c r="K24" s="273"/>
      <c r="L24" s="273"/>
      <c r="M24" s="273"/>
      <c r="N24" s="273"/>
      <c r="O24" s="80"/>
    </row>
    <row r="25" spans="2:15" ht="15.75" thickBot="1" x14ac:dyDescent="0.3">
      <c r="B25" s="65"/>
      <c r="C25" s="74" t="s">
        <v>112</v>
      </c>
      <c r="D25" s="75">
        <f>2*E13+E7-(3.76)</f>
        <v>-7.3013841697555648E-5</v>
      </c>
      <c r="E25" s="75">
        <f t="shared" si="0"/>
        <v>5.3310210794357159E-9</v>
      </c>
      <c r="F25" s="70"/>
      <c r="G25" s="273"/>
      <c r="H25" s="273"/>
      <c r="I25" s="273"/>
      <c r="J25" s="273"/>
      <c r="K25" s="273"/>
      <c r="L25" s="273"/>
      <c r="M25" s="273"/>
      <c r="N25" s="273"/>
      <c r="O25" s="80"/>
    </row>
    <row r="26" spans="2:15" ht="15.75" thickBot="1" x14ac:dyDescent="0.3">
      <c r="B26" s="65"/>
      <c r="C26" s="265" t="s">
        <v>103</v>
      </c>
      <c r="D26" s="266"/>
      <c r="E26" s="86">
        <f>SUM(E18:E25)</f>
        <v>7.618949306265365E-7</v>
      </c>
      <c r="F26" s="70"/>
      <c r="G26" s="70"/>
      <c r="H26" s="70" t="s">
        <v>104</v>
      </c>
      <c r="I26" s="79"/>
      <c r="J26" s="70"/>
      <c r="K26" s="70"/>
      <c r="L26" s="79"/>
      <c r="M26" s="79"/>
      <c r="N26" s="79"/>
      <c r="O26" s="80"/>
    </row>
    <row r="27" spans="2:15" ht="15.75" thickBot="1" x14ac:dyDescent="0.3">
      <c r="B27" s="82"/>
      <c r="C27" s="83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5"/>
    </row>
  </sheetData>
  <scenarios current="0">
    <scenario name="x" count="8" user="Perto" comment="Created by Perto on 11/14/2015">
      <inputCells r="E6" val="0.267969800067133" numFmtId="164"/>
      <inputCells r="E7" val="0.055232617402382" numFmtId="164"/>
      <inputCells r="E8" val="0.0065093077658518" numFmtId="164"/>
      <inputCells r="E9" val="0.00232828945055367" numFmtId="164"/>
      <inputCells r="E10" val="0.0834518332909962" numFmtId="164"/>
      <inputCells r="E11" val="0.166463404805566" numFmtId="164"/>
      <inputCells r="E12" val="0.0618428913949283" numFmtId="164"/>
      <inputCells r="E13" val="0.177793218845174" numFmtId="164"/>
    </scenario>
  </scenarios>
  <mergeCells count="7">
    <mergeCell ref="C26:D26"/>
    <mergeCell ref="C3:C5"/>
    <mergeCell ref="G3:N3"/>
    <mergeCell ref="H4:N4"/>
    <mergeCell ref="H5:N5"/>
    <mergeCell ref="G17:N25"/>
    <mergeCell ref="D3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ule21.Solver">
                <anchor moveWithCells="1" sizeWithCells="1">
                  <from>
                    <xdr:col>8</xdr:col>
                    <xdr:colOff>114300</xdr:colOff>
                    <xdr:row>8</xdr:row>
                    <xdr:rowOff>161925</xdr:rowOff>
                  </from>
                  <to>
                    <xdr:col>10</xdr:col>
                    <xdr:colOff>504825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P27"/>
  <sheetViews>
    <sheetView topLeftCell="A4" zoomScale="80" zoomScaleNormal="80" workbookViewId="0">
      <selection activeCell="K7" sqref="K7"/>
    </sheetView>
  </sheetViews>
  <sheetFormatPr defaultRowHeight="15" x14ac:dyDescent="0.25"/>
  <cols>
    <col min="4" max="4" width="16.42578125" customWidth="1"/>
    <col min="5" max="5" width="15.28515625" customWidth="1"/>
    <col min="6" max="6" width="17.85546875" customWidth="1"/>
    <col min="7" max="7" width="14.5703125" customWidth="1"/>
    <col min="8" max="10" width="14.140625" customWidth="1"/>
    <col min="11" max="11" width="25.42578125" customWidth="1"/>
    <col min="13" max="13" width="12.140625" customWidth="1"/>
  </cols>
  <sheetData>
    <row r="1" spans="2:16" ht="15.75" thickBot="1" x14ac:dyDescent="0.3"/>
    <row r="2" spans="2:16" ht="15.75" thickBot="1" x14ac:dyDescent="0.3">
      <c r="B2" s="283" t="s">
        <v>79</v>
      </c>
      <c r="C2" s="274"/>
      <c r="D2" s="274"/>
      <c r="E2" s="274"/>
      <c r="F2" s="274"/>
      <c r="G2" s="274"/>
      <c r="H2" s="274"/>
      <c r="I2" s="274"/>
      <c r="J2" s="275"/>
      <c r="L2" s="280" t="s">
        <v>85</v>
      </c>
      <c r="M2" s="281"/>
      <c r="N2" s="281"/>
      <c r="O2" s="281"/>
      <c r="P2" s="282"/>
    </row>
    <row r="3" spans="2:16" ht="18" customHeight="1" thickBot="1" x14ac:dyDescent="0.3">
      <c r="B3" s="284"/>
      <c r="C3" s="276"/>
      <c r="D3" s="276"/>
      <c r="E3" s="276"/>
      <c r="F3" s="276"/>
      <c r="G3" s="276"/>
      <c r="H3" s="276"/>
      <c r="I3" s="276"/>
      <c r="J3" s="285"/>
      <c r="L3" s="286" t="s">
        <v>21</v>
      </c>
      <c r="M3" s="288" t="s">
        <v>81</v>
      </c>
      <c r="N3" s="288" t="s">
        <v>82</v>
      </c>
      <c r="O3" s="288" t="s">
        <v>83</v>
      </c>
      <c r="P3" s="278" t="s">
        <v>136</v>
      </c>
    </row>
    <row r="4" spans="2:16" ht="15.75" thickBot="1" x14ac:dyDescent="0.3">
      <c r="B4" s="55"/>
      <c r="C4" s="56" t="s">
        <v>0</v>
      </c>
      <c r="D4" s="57" t="s">
        <v>52</v>
      </c>
      <c r="E4" s="57" t="s">
        <v>53</v>
      </c>
      <c r="F4" s="57" t="s">
        <v>54</v>
      </c>
      <c r="G4" s="57" t="s">
        <v>56</v>
      </c>
      <c r="H4" s="57" t="s">
        <v>55</v>
      </c>
      <c r="I4" s="57" t="s">
        <v>76</v>
      </c>
      <c r="J4" s="58" t="s">
        <v>77</v>
      </c>
      <c r="L4" s="287"/>
      <c r="M4" s="289"/>
      <c r="N4" s="289"/>
      <c r="O4" s="289"/>
      <c r="P4" s="279"/>
    </row>
    <row r="5" spans="2:16" ht="18" x14ac:dyDescent="0.25">
      <c r="B5" s="11" t="s">
        <v>7</v>
      </c>
      <c r="C5" s="26" t="s">
        <v>16</v>
      </c>
      <c r="D5" s="53">
        <v>3.0339924900000002</v>
      </c>
      <c r="E5" s="53">
        <v>2.1769180400000002E-3</v>
      </c>
      <c r="F5" s="53">
        <v>-1.6407251799999999E-7</v>
      </c>
      <c r="G5" s="53">
        <v>-9.7041986999999998E-11</v>
      </c>
      <c r="H5" s="53">
        <v>1.6820099199999999E-14</v>
      </c>
      <c r="I5" s="53">
        <v>-30004.2971</v>
      </c>
      <c r="J5" s="54">
        <v>4.9667700999999997</v>
      </c>
      <c r="L5" s="34">
        <f>Cp($D$5,$E$5,$F$5,$G$5,$H$5,Launchpad!H19)</f>
        <v>55.072634415398468</v>
      </c>
      <c r="M5" s="38">
        <f>HRT(Launchpad!$H$19,'Cp,Enthalpy,Entropy Calculation'!D5,'Cp,Enthalpy,Entropy Calculation'!E5,'Cp,Enthalpy,Entropy Calculation'!F5,'Cp,Enthalpy,Entropy Calculation'!G5,'Cp,Enthalpy,Entropy Calculation'!H5,'Cp,Enthalpy,Entropy Calculation'!I5)</f>
        <v>-6.5382164380735901</v>
      </c>
      <c r="N5" s="38">
        <f>SR(Launchpad!$H$19,'Cp,Enthalpy,Entropy Calculation'!D5,'Cp,Enthalpy,Entropy Calculation'!E5,'Cp,Enthalpy,Entropy Calculation'!F5,'Cp,Enthalpy,Entropy Calculation'!G5,'Cp,Enthalpy,Entropy Calculation'!H5,'Cp,Enthalpy,Entropy Calculation'!I5,'Cp,Enthalpy,Entropy Calculation'!J5)</f>
        <v>33.441306937969955</v>
      </c>
      <c r="O5" s="38">
        <f>M5-N5</f>
        <v>-39.979523376043545</v>
      </c>
      <c r="P5" s="35">
        <f>(M5-M11-(0.5*M10))-(N5-N11-(0.5*N10))</f>
        <v>-4.8565975399781305</v>
      </c>
    </row>
    <row r="6" spans="2:16" x14ac:dyDescent="0.25">
      <c r="B6" s="5" t="s">
        <v>8</v>
      </c>
      <c r="C6" s="4" t="s">
        <v>1</v>
      </c>
      <c r="D6" s="22">
        <v>3.2606055999999999</v>
      </c>
      <c r="E6" s="22">
        <v>1.1911043E-3</v>
      </c>
      <c r="F6" s="22">
        <v>-4.2917048000000002E-7</v>
      </c>
      <c r="G6" s="22">
        <v>6.9457669000000003E-11</v>
      </c>
      <c r="H6" s="22">
        <v>-4.0336098999999997E-15</v>
      </c>
      <c r="I6" s="22">
        <v>9920.9745999999996</v>
      </c>
      <c r="J6" s="23">
        <v>6.3693027000000004</v>
      </c>
      <c r="L6" s="5">
        <f>Cp($D$6,$E$6,$F$6,$G$6,$H$6,Launchpad!H19)</f>
        <v>37.321434627006084</v>
      </c>
      <c r="M6" s="4">
        <f>HRT(Launchpad!$H$19,'Cp,Enthalpy,Entropy Calculation'!D6,'Cp,Enthalpy,Entropy Calculation'!E6,'Cp,Enthalpy,Entropy Calculation'!F6,'Cp,Enthalpy,Entropy Calculation'!G6,'Cp,Enthalpy,Entropy Calculation'!H6,'Cp,Enthalpy,Entropy Calculation'!I6)</f>
        <v>7.9843273069603269</v>
      </c>
      <c r="N6" s="4">
        <f>SR(Launchpad!$H$19,'Cp,Enthalpy,Entropy Calculation'!D6,'Cp,Enthalpy,Entropy Calculation'!E6,'Cp,Enthalpy,Entropy Calculation'!F6,'Cp,Enthalpy,Entropy Calculation'!G6,'Cp,Enthalpy,Entropy Calculation'!H6,'Cp,Enthalpy,Entropy Calculation'!I6,'Cp,Enthalpy,Entropy Calculation'!J6)</f>
        <v>33.939912474892843</v>
      </c>
      <c r="O6" s="4">
        <f t="shared" ref="O6:O12" si="0">M6-N6</f>
        <v>-25.955585167932515</v>
      </c>
      <c r="P6" s="6">
        <f>(M6-(0.5*M12)-(0.5*M10))-(N6-(0.5*N10)-(0.5*N12))</f>
        <v>2.7723157221331931</v>
      </c>
    </row>
    <row r="7" spans="2:16" x14ac:dyDescent="0.25">
      <c r="B7" s="5" t="s">
        <v>9</v>
      </c>
      <c r="C7" s="4" t="s">
        <v>6</v>
      </c>
      <c r="D7" s="22">
        <v>2.5000000099999999</v>
      </c>
      <c r="E7" s="22">
        <v>-2.3084297299999999E-11</v>
      </c>
      <c r="F7" s="22">
        <v>1.6156194800000001E-14</v>
      </c>
      <c r="G7" s="22">
        <v>-4.7351523500000003E-18</v>
      </c>
      <c r="H7" s="22">
        <v>4.9819735700000002E-22</v>
      </c>
      <c r="I7" s="22">
        <v>25473.659899999999</v>
      </c>
      <c r="J7" s="23">
        <v>-0.44668291399999999</v>
      </c>
      <c r="L7" s="5">
        <f>Cp(D7,E7,F7,G7,H7,Launchpad!H19)</f>
        <v>20.784999989526558</v>
      </c>
      <c r="M7" s="4">
        <f>HRT(Launchpad!$H$19,'Cp,Enthalpy,Entropy Calculation'!D7,'Cp,Enthalpy,Entropy Calculation'!E7,'Cp,Enthalpy,Entropy Calculation'!F7,'Cp,Enthalpy,Entropy Calculation'!G7,'Cp,Enthalpy,Entropy Calculation'!H7,'Cp,Enthalpy,Entropy Calculation'!I7)</f>
        <v>12.463723352954919</v>
      </c>
      <c r="N7" s="4">
        <f>SR(Launchpad!$H$19,'Cp,Enthalpy,Entropy Calculation'!D7,'Cp,Enthalpy,Entropy Calculation'!E7,'Cp,Enthalpy,Entropy Calculation'!F7,'Cp,Enthalpy,Entropy Calculation'!G7,'Cp,Enthalpy,Entropy Calculation'!H7,'Cp,Enthalpy,Entropy Calculation'!I7,'Cp,Enthalpy,Entropy Calculation'!J7)</f>
        <v>19.169440686823883</v>
      </c>
      <c r="O7" s="4">
        <f t="shared" si="0"/>
        <v>-6.7057173338689644</v>
      </c>
      <c r="P7" s="6">
        <f>(M7-(0.5*M11))-(N7-(0.5*N11))</f>
        <v>3.4386850013816836</v>
      </c>
    </row>
    <row r="8" spans="2:16" x14ac:dyDescent="0.25">
      <c r="B8" s="5" t="s">
        <v>10</v>
      </c>
      <c r="C8" s="4" t="s">
        <v>5</v>
      </c>
      <c r="D8" s="22">
        <v>2.5694207800000002</v>
      </c>
      <c r="E8" s="22">
        <v>-8.5974113700000004E-5</v>
      </c>
      <c r="F8" s="22">
        <v>4.1948458900000002E-8</v>
      </c>
      <c r="G8" s="22">
        <v>-1.0017779899999999E-11</v>
      </c>
      <c r="H8" s="22">
        <v>1.2283369099999999E-15</v>
      </c>
      <c r="I8" s="22">
        <v>29217.579099999999</v>
      </c>
      <c r="J8" s="23">
        <v>4.7843386399999996</v>
      </c>
      <c r="K8" s="28" t="s">
        <v>86</v>
      </c>
      <c r="L8" s="5">
        <f>Cp(D8,E8,F8,G8,H8,Launchpad!H19)</f>
        <v>20.858818923424931</v>
      </c>
      <c r="M8" s="4">
        <f>HRT(Launchpad!$H$19,'Cp,Enthalpy,Entropy Calculation'!D8,'Cp,Enthalpy,Entropy Calculation'!E8,'Cp,Enthalpy,Entropy Calculation'!F8,'Cp,Enthalpy,Entropy Calculation'!G8,'Cp,Enthalpy,Entropy Calculation'!H8,'Cp,Enthalpy,Entropy Calculation'!I8)</f>
        <v>13.947672869672061</v>
      </c>
      <c r="N8" s="4">
        <f>SR(Launchpad!$H$19,'Cp,Enthalpy,Entropy Calculation'!D8,'Cp,Enthalpy,Entropy Calculation'!E8,'Cp,Enthalpy,Entropy Calculation'!F8,'Cp,Enthalpy,Entropy Calculation'!G8,'Cp,Enthalpy,Entropy Calculation'!H8,'Cp,Enthalpy,Entropy Calculation'!I8,'Cp,Enthalpy,Entropy Calculation'!J8)</f>
        <v>24.819776956339204</v>
      </c>
      <c r="O8" s="4">
        <f t="shared" si="0"/>
        <v>-10.872104086667143</v>
      </c>
      <c r="P8" s="6">
        <f>(M8-(0.5*M10))-(N8-(0.5*N10))</f>
        <v>3.9620170788969773</v>
      </c>
    </row>
    <row r="9" spans="2:16" x14ac:dyDescent="0.25">
      <c r="B9" s="5" t="s">
        <v>11</v>
      </c>
      <c r="C9" s="4" t="s">
        <v>2</v>
      </c>
      <c r="D9" s="22">
        <v>3.0928876700000001</v>
      </c>
      <c r="E9" s="22">
        <v>5.4842971599999998E-4</v>
      </c>
      <c r="F9" s="22">
        <v>1.2650522799999999E-7</v>
      </c>
      <c r="G9" s="22">
        <v>-8.7946155599999995E-11</v>
      </c>
      <c r="H9" s="22">
        <v>1.17412376E-14</v>
      </c>
      <c r="I9" s="22">
        <v>3858.6570000000002</v>
      </c>
      <c r="J9" s="23">
        <v>4.4766960999999998</v>
      </c>
      <c r="L9" s="5">
        <f>Cp(D9,E9,F9,G9,H9,Launchpad!H19)</f>
        <v>36.198037705843184</v>
      </c>
      <c r="M9" s="4">
        <f>HRT(Launchpad!$H$19,'Cp,Enthalpy,Entropy Calculation'!D9,'Cp,Enthalpy,Entropy Calculation'!E9,'Cp,Enthalpy,Entropy Calculation'!F9,'Cp,Enthalpy,Entropy Calculation'!G9,'Cp,Enthalpy,Entropy Calculation'!H9,'Cp,Enthalpy,Entropy Calculation'!I9)</f>
        <v>5.3117604757144834</v>
      </c>
      <c r="N9" s="4">
        <f>SR(Launchpad!$H$19,'Cp,Enthalpy,Entropy Calculation'!D9,'Cp,Enthalpy,Entropy Calculation'!E9,'Cp,Enthalpy,Entropy Calculation'!F9,'Cp,Enthalpy,Entropy Calculation'!G9,'Cp,Enthalpy,Entropy Calculation'!H9,'Cp,Enthalpy,Entropy Calculation'!I9,'Cp,Enthalpy,Entropy Calculation'!J9)</f>
        <v>30.195978821811543</v>
      </c>
      <c r="O9" s="4">
        <f t="shared" si="0"/>
        <v>-24.884218346097061</v>
      </c>
      <c r="P9" s="6">
        <f>(M9-(0.5*M10)-(0.5*M11))-(N9-(0.5*N10)-(0.5*N11))</f>
        <v>9.430515471770784E-2</v>
      </c>
    </row>
    <row r="10" spans="2:16" x14ac:dyDescent="0.25">
      <c r="B10" s="5" t="s">
        <v>12</v>
      </c>
      <c r="C10" s="4" t="s">
        <v>4</v>
      </c>
      <c r="D10" s="22">
        <v>3.2825378399999998</v>
      </c>
      <c r="E10" s="22">
        <v>1.4830875399999999E-3</v>
      </c>
      <c r="F10" s="22">
        <v>-7.5796666899999999E-7</v>
      </c>
      <c r="G10" s="22">
        <v>2.0947055499999999E-10</v>
      </c>
      <c r="H10" s="22">
        <v>-2.1671779399999999E-14</v>
      </c>
      <c r="I10" s="22">
        <v>-1088.4577200000001</v>
      </c>
      <c r="J10" s="23">
        <v>5.4532312899999997</v>
      </c>
      <c r="L10" s="5">
        <f>Cp(D10,E10,F10,G10,H10,Launchpad!H19)</f>
        <v>39.029856102098535</v>
      </c>
      <c r="M10" s="4">
        <f>HRT(Launchpad!$H$19,'Cp,Enthalpy,Entropy Calculation'!D10,'Cp,Enthalpy,Entropy Calculation'!E10,'Cp,Enthalpy,Entropy Calculation'!F10,'Cp,Enthalpy,Entropy Calculation'!G10,'Cp,Enthalpy,Entropy Calculation'!H10,'Cp,Enthalpy,Entropy Calculation'!I10)</f>
        <v>3.7911456747866188</v>
      </c>
      <c r="N10" s="4">
        <f>SR(Launchpad!$H$19,'Cp,Enthalpy,Entropy Calculation'!D10,'Cp,Enthalpy,Entropy Calculation'!E10,'Cp,Enthalpy,Entropy Calculation'!F10,'Cp,Enthalpy,Entropy Calculation'!G10,'Cp,Enthalpy,Entropy Calculation'!H10,'Cp,Enthalpy,Entropy Calculation'!I10,'Cp,Enthalpy,Entropy Calculation'!J10)</f>
        <v>33.45938800591486</v>
      </c>
      <c r="O10" s="4">
        <f t="shared" si="0"/>
        <v>-29.668242331128241</v>
      </c>
      <c r="P10" s="6">
        <v>0</v>
      </c>
    </row>
    <row r="11" spans="2:16" x14ac:dyDescent="0.25">
      <c r="B11" s="5" t="s">
        <v>13</v>
      </c>
      <c r="C11" s="4" t="s">
        <v>3</v>
      </c>
      <c r="D11" s="22">
        <v>3.3372791999999998</v>
      </c>
      <c r="E11" s="22">
        <v>-4.9402473099999998E-5</v>
      </c>
      <c r="F11" s="22">
        <v>4.9945677799999996E-7</v>
      </c>
      <c r="G11" s="22">
        <v>-1.7956639400000001E-10</v>
      </c>
      <c r="H11" s="22">
        <v>2.00255376E-14</v>
      </c>
      <c r="I11" s="22">
        <v>-950.15892199999996</v>
      </c>
      <c r="J11" s="23">
        <v>-3.2050233100000001</v>
      </c>
      <c r="L11" s="5">
        <f>Cp(D11,E11,F11,G11,H11,Launchpad!H19)</f>
        <v>36.003232866856642</v>
      </c>
      <c r="M11" s="4">
        <f>HRT(Launchpad!$H$19,'Cp,Enthalpy,Entropy Calculation'!D11,'Cp,Enthalpy,Entropy Calculation'!E11,'Cp,Enthalpy,Entropy Calculation'!F11,'Cp,Enthalpy,Entropy Calculation'!G11,'Cp,Enthalpy,Entropy Calculation'!H11,'Cp,Enthalpy,Entropy Calculation'!I11)</f>
        <v>3.4116237752459018</v>
      </c>
      <c r="N11" s="4">
        <f>SR(Launchpad!$H$19,'Cp,Enthalpy,Entropy Calculation'!D11,'Cp,Enthalpy,Entropy Calculation'!E11,'Cp,Enthalpy,Entropy Calculation'!F11,'Cp,Enthalpy,Entropy Calculation'!G11,'Cp,Enthalpy,Entropy Calculation'!H11,'Cp,Enthalpy,Entropy Calculation'!I11,'Cp,Enthalpy,Entropy Calculation'!J11)</f>
        <v>23.700428445747196</v>
      </c>
      <c r="O11" s="4">
        <f t="shared" si="0"/>
        <v>-20.288804670501293</v>
      </c>
      <c r="P11" s="6">
        <v>0</v>
      </c>
    </row>
    <row r="12" spans="2:16" x14ac:dyDescent="0.25">
      <c r="B12" s="5" t="s">
        <v>47</v>
      </c>
      <c r="C12" s="4" t="s">
        <v>48</v>
      </c>
      <c r="D12" s="22">
        <v>2.9266399999999999</v>
      </c>
      <c r="E12" s="22">
        <v>1.4879768000000001E-3</v>
      </c>
      <c r="F12" s="22">
        <v>-5.6847600000000001E-7</v>
      </c>
      <c r="G12" s="22">
        <v>1.0097038E-10</v>
      </c>
      <c r="H12" s="22">
        <v>-6.7533509999999998E-15</v>
      </c>
      <c r="I12" s="22">
        <v>-922.79769999999996</v>
      </c>
      <c r="J12" s="23">
        <v>5.9805279999999996</v>
      </c>
      <c r="L12" s="50">
        <f>Cp(D12,E12,F12,G12,H12,Launchpad!H19)</f>
        <v>36.696965188945569</v>
      </c>
      <c r="M12" s="51">
        <f>HRT(Launchpad!$H$19,'Cp,Enthalpy,Entropy Calculation'!D12,'Cp,Enthalpy,Entropy Calculation'!E12,'Cp,Enthalpy,Entropy Calculation'!F12,'Cp,Enthalpy,Entropy Calculation'!G12,'Cp,Enthalpy,Entropy Calculation'!H12,'Cp,Enthalpy,Entropy Calculation'!I12)</f>
        <v>3.5933403122434178</v>
      </c>
      <c r="N12" s="51">
        <f>SR(Launchpad!$H$19,'Cp,Enthalpy,Entropy Calculation'!D12,'Cp,Enthalpy,Entropy Calculation'!E12,'Cp,Enthalpy,Entropy Calculation'!F12,'Cp,Enthalpy,Entropy Calculation'!G12,'Cp,Enthalpy,Entropy Calculation'!H12,'Cp,Enthalpy,Entropy Calculation'!I12,'Cp,Enthalpy,Entropy Calculation'!J12)</f>
        <v>31.380899761246596</v>
      </c>
      <c r="O12" s="51">
        <f t="shared" si="0"/>
        <v>-27.787559449003179</v>
      </c>
      <c r="P12" s="52">
        <v>0</v>
      </c>
    </row>
    <row r="13" spans="2:16" ht="15.75" thickBot="1" x14ac:dyDescent="0.3">
      <c r="B13" s="47" t="s">
        <v>98</v>
      </c>
      <c r="C13" s="48" t="s">
        <v>91</v>
      </c>
      <c r="D13" s="24">
        <v>2.5</v>
      </c>
      <c r="E13" s="24">
        <v>0</v>
      </c>
      <c r="F13" s="24">
        <v>0</v>
      </c>
      <c r="G13" s="46">
        <v>0</v>
      </c>
      <c r="H13" s="46">
        <v>0</v>
      </c>
      <c r="I13" s="24">
        <v>-745.375</v>
      </c>
      <c r="J13" s="25">
        <v>3.3553227200000002</v>
      </c>
      <c r="L13" s="36">
        <f>Cp(D13,E13,F13,G13,H13,Launchpad!H19)</f>
        <v>20.785</v>
      </c>
      <c r="M13" s="39">
        <f>HRT(Launchpad!$H$19,'Cp,Enthalpy,Entropy Calculation'!D13,'Cp,Enthalpy,Entropy Calculation'!E13,'Cp,Enthalpy,Entropy Calculation'!F13,'Cp,Enthalpy,Entropy Calculation'!G13,'Cp,Enthalpy,Entropy Calculation'!H13,'Cp,Enthalpy,Entropy Calculation'!I13)</f>
        <v>2.208455309396486</v>
      </c>
      <c r="N13" s="39">
        <f>SR(Launchpad!$H$19,'Cp,Enthalpy,Entropy Calculation'!D13,'Cp,Enthalpy,Entropy Calculation'!E13,'Cp,Enthalpy,Entropy Calculation'!F13,'Cp,Enthalpy,Entropy Calculation'!G13,'Cp,Enthalpy,Entropy Calculation'!H13,'Cp,Enthalpy,Entropy Calculation'!I13,'Cp,Enthalpy,Entropy Calculation'!J13)</f>
        <v>22.971446269631326</v>
      </c>
      <c r="O13" s="39">
        <f t="shared" ref="O13" si="1">M13-N13</f>
        <v>-20.762990960234838</v>
      </c>
      <c r="P13" s="37">
        <v>1</v>
      </c>
    </row>
    <row r="15" spans="2:16" ht="15.75" thickBot="1" x14ac:dyDescent="0.3">
      <c r="D15" s="2"/>
      <c r="E15" s="2"/>
      <c r="F15" s="2"/>
      <c r="G15" s="2"/>
      <c r="H15" s="2"/>
      <c r="I15" s="2"/>
      <c r="J15" s="2"/>
    </row>
    <row r="16" spans="2:16" ht="15.75" thickBot="1" x14ac:dyDescent="0.3">
      <c r="B16" s="283" t="s">
        <v>80</v>
      </c>
      <c r="C16" s="274"/>
      <c r="D16" s="274"/>
      <c r="E16" s="274"/>
      <c r="F16" s="274"/>
      <c r="G16" s="274"/>
      <c r="H16" s="274"/>
      <c r="I16" s="274"/>
      <c r="J16" s="275"/>
      <c r="L16" s="280" t="s">
        <v>87</v>
      </c>
      <c r="M16" s="281"/>
      <c r="N16" s="281"/>
      <c r="O16" s="281"/>
      <c r="P16" s="282"/>
    </row>
    <row r="17" spans="2:16" ht="15.75" thickBot="1" x14ac:dyDescent="0.3">
      <c r="B17" s="284"/>
      <c r="C17" s="276"/>
      <c r="D17" s="276"/>
      <c r="E17" s="276"/>
      <c r="F17" s="276"/>
      <c r="G17" s="276"/>
      <c r="H17" s="276"/>
      <c r="I17" s="276"/>
      <c r="J17" s="285"/>
      <c r="L17" s="286" t="s">
        <v>21</v>
      </c>
      <c r="M17" s="288" t="s">
        <v>81</v>
      </c>
      <c r="N17" s="288" t="s">
        <v>82</v>
      </c>
      <c r="O17" s="288" t="s">
        <v>83</v>
      </c>
      <c r="P17" s="278" t="s">
        <v>136</v>
      </c>
    </row>
    <row r="18" spans="2:16" ht="15.75" thickBot="1" x14ac:dyDescent="0.3">
      <c r="B18" s="42"/>
      <c r="C18" s="43" t="s">
        <v>0</v>
      </c>
      <c r="D18" s="44" t="s">
        <v>52</v>
      </c>
      <c r="E18" s="44" t="s">
        <v>53</v>
      </c>
      <c r="F18" s="44" t="s">
        <v>54</v>
      </c>
      <c r="G18" s="44" t="s">
        <v>56</v>
      </c>
      <c r="H18" s="44" t="s">
        <v>55</v>
      </c>
      <c r="I18" s="44" t="s">
        <v>76</v>
      </c>
      <c r="J18" s="45" t="s">
        <v>77</v>
      </c>
      <c r="L18" s="290"/>
      <c r="M18" s="291"/>
      <c r="N18" s="291"/>
      <c r="O18" s="291"/>
      <c r="P18" s="292"/>
    </row>
    <row r="19" spans="2:16" ht="18" x14ac:dyDescent="0.25">
      <c r="B19" s="29" t="s">
        <v>7</v>
      </c>
      <c r="C19" s="33" t="s">
        <v>16</v>
      </c>
      <c r="D19" s="40">
        <v>4.1986405600000003</v>
      </c>
      <c r="E19" s="40">
        <v>-2.0364341000000002E-3</v>
      </c>
      <c r="F19" s="40">
        <v>6.5204021099999997E-6</v>
      </c>
      <c r="G19" s="40">
        <v>-5.4879706200000003E-9</v>
      </c>
      <c r="H19" s="40">
        <v>1.77197817E-12</v>
      </c>
      <c r="I19" s="40">
        <v>-30293.726699999999</v>
      </c>
      <c r="J19" s="41">
        <v>-0.84903220800000001</v>
      </c>
      <c r="L19" s="5">
        <f>Cp(D19,E19,F19,G19,H19,Launchpad!$H$43)</f>
        <v>35.212087537526251</v>
      </c>
      <c r="M19" s="4">
        <f>HRT(Launchpad!$H$43,'Cp,Enthalpy,Entropy Calculation'!D19,'Cp,Enthalpy,Entropy Calculation'!E19,'Cp,Enthalpy,Entropy Calculation'!F19,'Cp,Enthalpy,Entropy Calculation'!G19,'Cp,Enthalpy,Entropy Calculation'!H19,'Cp,Enthalpy,Entropy Calculation'!I19)</f>
        <v>-56.503903877250004</v>
      </c>
      <c r="N19" s="4">
        <f>SR(Launchpad!$H$43,'Cp,Enthalpy,Entropy Calculation'!D19,'Cp,Enthalpy,Entropy Calculation'!E19,'Cp,Enthalpy,Entropy Calculation'!F19,'Cp,Enthalpy,Entropy Calculation'!G19,'Cp,Enthalpy,Entropy Calculation'!H19,'Cp,Enthalpy,Entropy Calculation'!I19,'Cp,Enthalpy,Entropy Calculation'!J19)</f>
        <v>24.839728348696138</v>
      </c>
      <c r="O19" s="4">
        <f>M19-N19</f>
        <v>-81.343632225946138</v>
      </c>
      <c r="P19" s="6">
        <f>(M19-M25-(0.5*M24))-(N19-N25-(0.5*N24))</f>
        <v>-53.086407950134557</v>
      </c>
    </row>
    <row r="20" spans="2:16" x14ac:dyDescent="0.25">
      <c r="B20" s="5" t="s">
        <v>8</v>
      </c>
      <c r="C20" s="4" t="s">
        <v>1</v>
      </c>
      <c r="D20" s="22">
        <v>4.2184762999999998</v>
      </c>
      <c r="E20" s="22">
        <v>-4.6389760000000004E-3</v>
      </c>
      <c r="F20" s="22">
        <v>1.1041022E-5</v>
      </c>
      <c r="G20" s="22">
        <v>-9.3361354000000002E-9</v>
      </c>
      <c r="H20" s="22">
        <v>2.8035769999999999E-12</v>
      </c>
      <c r="I20" s="22">
        <v>9844.6229999999996</v>
      </c>
      <c r="J20" s="23">
        <v>2.2808464000000002</v>
      </c>
      <c r="L20" s="5">
        <f>Cp(D20,E20,F20,G20,H20,Launchpad!$H$43)</f>
        <v>30.491182937374994</v>
      </c>
      <c r="M20" s="4">
        <f>HRT(Launchpad!$H$43,'Cp,Enthalpy,Entropy Calculation'!D20,'Cp,Enthalpy,Entropy Calculation'!E20,'Cp,Enthalpy,Entropy Calculation'!F20,'Cp,Enthalpy,Entropy Calculation'!G20,'Cp,Enthalpy,Entropy Calculation'!H20,'Cp,Enthalpy,Entropy Calculation'!I20)</f>
        <v>23.411353947916666</v>
      </c>
      <c r="N20" s="4">
        <f>SR(Launchpad!$H$43,'Cp,Enthalpy,Entropy Calculation'!D20,'Cp,Enthalpy,Entropy Calculation'!E20,'Cp,Enthalpy,Entropy Calculation'!F20,'Cp,Enthalpy,Entropy Calculation'!G20,'Cp,Enthalpy,Entropy Calculation'!H20,'Cp,Enthalpy,Entropy Calculation'!I20,'Cp,Enthalpy,Entropy Calculation'!J20)</f>
        <v>27.212463375940413</v>
      </c>
      <c r="O20" s="4">
        <f t="shared" ref="O20:O26" si="2">M20-N20</f>
        <v>-3.8011094280237465</v>
      </c>
      <c r="P20" s="6">
        <f>(M20-(0.5*M26)-(0.5*M24))-(N20-(0.5*N24)-(0.5*N26))</f>
        <v>20.454656579617399</v>
      </c>
    </row>
    <row r="21" spans="2:16" x14ac:dyDescent="0.25">
      <c r="B21" s="5" t="s">
        <v>9</v>
      </c>
      <c r="C21" s="4" t="s">
        <v>6</v>
      </c>
      <c r="D21" s="22">
        <v>2.5</v>
      </c>
      <c r="E21" s="22">
        <v>7.0533281899999999E-13</v>
      </c>
      <c r="F21" s="22">
        <v>-1.99591964E-15</v>
      </c>
      <c r="G21" s="22">
        <v>2.3008163199999999E-18</v>
      </c>
      <c r="H21" s="22">
        <v>-9.2773233200000006E-22</v>
      </c>
      <c r="I21" s="22">
        <v>25473.659899999999</v>
      </c>
      <c r="J21" s="23">
        <v>-0.44668285299999999</v>
      </c>
      <c r="L21" s="5">
        <f>Cp(D21,E21,F21,G21,H21,Launchpad!$H$43)</f>
        <v>20.785000000692598</v>
      </c>
      <c r="M21" s="4">
        <f>HRT(Launchpad!$H$43,'Cp,Enthalpy,Entropy Calculation'!D21,'Cp,Enthalpy,Entropy Calculation'!E21,'Cp,Enthalpy,Entropy Calculation'!F21,'Cp,Enthalpy,Entropy Calculation'!G21,'Cp,Enthalpy,Entropy Calculation'!H21,'Cp,Enthalpy,Entropy Calculation'!I21)</f>
        <v>53.447319800070304</v>
      </c>
      <c r="N21" s="4">
        <f>SR(Launchpad!$H$43,'Cp,Enthalpy,Entropy Calculation'!D21,'Cp,Enthalpy,Entropy Calculation'!E21,'Cp,Enthalpy,Entropy Calculation'!F21,'Cp,Enthalpy,Entropy Calculation'!G21,'Cp,Enthalpy,Entropy Calculation'!H21,'Cp,Enthalpy,Entropy Calculation'!I21,'Cp,Enthalpy,Entropy Calculation'!J21)</f>
        <v>15.089837393240028</v>
      </c>
      <c r="O21" s="4">
        <f t="shared" si="2"/>
        <v>38.357482406830272</v>
      </c>
      <c r="P21" s="6">
        <f>(M21-(0.5*M25))-(N21-(0.5*N25))</f>
        <v>46.21609430611025</v>
      </c>
    </row>
    <row r="22" spans="2:16" x14ac:dyDescent="0.25">
      <c r="B22" s="5" t="s">
        <v>10</v>
      </c>
      <c r="C22" s="4" t="s">
        <v>5</v>
      </c>
      <c r="D22" s="22">
        <v>3.1682671</v>
      </c>
      <c r="E22" s="22">
        <v>-3.2793188399999999E-3</v>
      </c>
      <c r="F22" s="22">
        <v>6.6430639599999997E-6</v>
      </c>
      <c r="G22" s="22">
        <v>-6.1280662400000001E-9</v>
      </c>
      <c r="H22" s="22">
        <v>2.1126597099999999E-12</v>
      </c>
      <c r="I22" s="22">
        <v>29217.579099999999</v>
      </c>
      <c r="J22" s="23">
        <v>2.0519334599999999</v>
      </c>
      <c r="K22" s="28" t="s">
        <v>86</v>
      </c>
      <c r="L22" s="5">
        <f>Cp(D22,E22,F22,G22,H22,Launchpad!$H$43)</f>
        <v>21.245650654268754</v>
      </c>
      <c r="M22" s="4">
        <f>HRT(Launchpad!$H$43,'Cp,Enthalpy,Entropy Calculation'!D22,'Cp,Enthalpy,Entropy Calculation'!E22,'Cp,Enthalpy,Entropy Calculation'!F22,'Cp,Enthalpy,Entropy Calculation'!G22,'Cp,Enthalpy,Entropy Calculation'!H22,'Cp,Enthalpy,Entropy Calculation'!I22)</f>
        <v>61.172090429708327</v>
      </c>
      <c r="N22" s="4">
        <f>SR(Launchpad!$H$43,'Cp,Enthalpy,Entropy Calculation'!D22,'Cp,Enthalpy,Entropy Calculation'!E22,'Cp,Enthalpy,Entropy Calculation'!F22,'Cp,Enthalpy,Entropy Calculation'!G22,'Cp,Enthalpy,Entropy Calculation'!H22,'Cp,Enthalpy,Entropy Calculation'!I22,'Cp,Enthalpy,Entropy Calculation'!J22)</f>
        <v>20.709869627260005</v>
      </c>
      <c r="O22" s="4">
        <f t="shared" si="2"/>
        <v>40.462220802448321</v>
      </c>
      <c r="P22" s="6">
        <f>(M22-(0.5*M24))-(N22-(0.5*N24))</f>
        <v>53.002221279699953</v>
      </c>
    </row>
    <row r="23" spans="2:16" x14ac:dyDescent="0.25">
      <c r="B23" s="5" t="s">
        <v>11</v>
      </c>
      <c r="C23" s="4" t="s">
        <v>2</v>
      </c>
      <c r="D23" s="22">
        <v>3.9920154299999999</v>
      </c>
      <c r="E23" s="22">
        <v>-2.4013175200000001E-3</v>
      </c>
      <c r="F23" s="22">
        <v>4.6179384099999996E-6</v>
      </c>
      <c r="G23" s="22">
        <v>-3.88113333E-9</v>
      </c>
      <c r="H23" s="22">
        <v>1.3641147E-12</v>
      </c>
      <c r="I23" s="22">
        <v>3615.0805599999999</v>
      </c>
      <c r="J23" s="23">
        <v>-0.103925458</v>
      </c>
      <c r="L23" s="5">
        <f>Cp(D23,E23,F23,G23,H23,Launchpad!$H$43)</f>
        <v>29.48108462735</v>
      </c>
      <c r="M23" s="4">
        <f>HRT(Launchpad!$H$43,'Cp,Enthalpy,Entropy Calculation'!D23,'Cp,Enthalpy,Entropy Calculation'!E23,'Cp,Enthalpy,Entropy Calculation'!F23,'Cp,Enthalpy,Entropy Calculation'!G23,'Cp,Enthalpy,Entropy Calculation'!H23,'Cp,Enthalpy,Entropy Calculation'!I23)</f>
        <v>10.902441388020833</v>
      </c>
      <c r="N23" s="4">
        <f>SR(Launchpad!$H$43,'Cp,Enthalpy,Entropy Calculation'!D23,'Cp,Enthalpy,Entropy Calculation'!E23,'Cp,Enthalpy,Entropy Calculation'!F23,'Cp,Enthalpy,Entropy Calculation'!G23,'Cp,Enthalpy,Entropy Calculation'!H23,'Cp,Enthalpy,Entropy Calculation'!I23,'Cp,Enthalpy,Entropy Calculation'!J23)</f>
        <v>23.941069906991846</v>
      </c>
      <c r="O23" s="4">
        <f t="shared" si="2"/>
        <v>-13.038628518971013</v>
      </c>
      <c r="P23" s="6">
        <f>(M23-(0.5*M24)-(0.5*M25))-(N23-(0.5*N24)-(0.5*N25))</f>
        <v>7.3599838575606</v>
      </c>
    </row>
    <row r="24" spans="2:16" x14ac:dyDescent="0.25">
      <c r="B24" s="5" t="s">
        <v>12</v>
      </c>
      <c r="C24" s="4" t="s">
        <v>4</v>
      </c>
      <c r="D24" s="22">
        <v>3.7824563599999999</v>
      </c>
      <c r="E24" s="22">
        <v>-2.9967341599999998E-3</v>
      </c>
      <c r="F24" s="22">
        <v>9.84730201E-6</v>
      </c>
      <c r="G24" s="22">
        <v>-9.6812950900000007E-9</v>
      </c>
      <c r="H24" s="22">
        <v>3.24372837E-12</v>
      </c>
      <c r="I24" s="22">
        <v>-1063.9435599999999</v>
      </c>
      <c r="J24" s="23">
        <v>3.6576757299999998</v>
      </c>
      <c r="L24" s="5">
        <f>Cp(D24,E24,F24,G24,H24,Launchpad!$H$43)</f>
        <v>31.081771933683751</v>
      </c>
      <c r="M24" s="4">
        <f>HRT(Launchpad!$H$43,'Cp,Enthalpy,Entropy Calculation'!D24,'Cp,Enthalpy,Entropy Calculation'!E24,'Cp,Enthalpy,Entropy Calculation'!F24,'Cp,Enthalpy,Entropy Calculation'!G24,'Cp,Enthalpy,Entropy Calculation'!H24,'Cp,Enthalpy,Entropy Calculation'!I24)</f>
        <v>1.4640003338958323</v>
      </c>
      <c r="N24" s="4">
        <f>SR(Launchpad!$H$43,'Cp,Enthalpy,Entropy Calculation'!D24,'Cp,Enthalpy,Entropy Calculation'!E24,'Cp,Enthalpy,Entropy Calculation'!F24,'Cp,Enthalpy,Entropy Calculation'!G24,'Cp,Enthalpy,Entropy Calculation'!H24,'Cp,Enthalpy,Entropy Calculation'!I24,'Cp,Enthalpy,Entropy Calculation'!J24)</f>
        <v>26.544001288399105</v>
      </c>
      <c r="O24" s="4">
        <f t="shared" si="2"/>
        <v>-25.080000954503273</v>
      </c>
      <c r="P24" s="6">
        <v>0</v>
      </c>
    </row>
    <row r="25" spans="2:16" x14ac:dyDescent="0.25">
      <c r="B25" s="5" t="s">
        <v>13</v>
      </c>
      <c r="C25" s="4" t="s">
        <v>3</v>
      </c>
      <c r="D25" s="22">
        <v>2.3443311200000001</v>
      </c>
      <c r="E25" s="22">
        <v>7.9805207499999992E-3</v>
      </c>
      <c r="F25" s="22">
        <v>-1.9478150999999999E-5</v>
      </c>
      <c r="G25" s="22">
        <v>2.01572094E-8</v>
      </c>
      <c r="H25" s="22">
        <v>-7.3761176100000006E-12</v>
      </c>
      <c r="I25" s="22">
        <v>-917.93517299999996</v>
      </c>
      <c r="J25" s="23">
        <v>0.68301023800000005</v>
      </c>
      <c r="L25" s="5">
        <f>Cp(D25,E25,F25,G25,H25,Launchpad!$H$41)</f>
        <v>28.83457808549618</v>
      </c>
      <c r="M25" s="4">
        <f>HRT(Launchpad!$H$41,'Cp,Enthalpy,Entropy Calculation'!D25,'Cp,Enthalpy,Entropy Calculation'!E25,'Cp,Enthalpy,Entropy Calculation'!F25,'Cp,Enthalpy,Entropy Calculation'!G25,'Cp,Enthalpy,Entropy Calculation'!H25,'Cp,Enthalpy,Entropy Calculation'!I25)</f>
        <v>5.3578053105240997E-9</v>
      </c>
      <c r="N25" s="4">
        <f>SR(Launchpad!$H$41,'Cp,Enthalpy,Entropy Calculation'!D25,'Cp,Enthalpy,Entropy Calculation'!E25,'Cp,Enthalpy,Entropy Calculation'!F25,'Cp,Enthalpy,Entropy Calculation'!G25,'Cp,Enthalpy,Entropy Calculation'!H25,'Cp,Enthalpy,Entropy Calculation'!I25,'Cp,Enthalpy,Entropy Calculation'!J25)</f>
        <v>15.717223803917758</v>
      </c>
      <c r="O25" s="4">
        <f t="shared" si="2"/>
        <v>-15.717223798559953</v>
      </c>
      <c r="P25" s="6">
        <v>0</v>
      </c>
    </row>
    <row r="26" spans="2:16" x14ac:dyDescent="0.25">
      <c r="B26" s="5" t="s">
        <v>47</v>
      </c>
      <c r="C26" s="4" t="s">
        <v>48</v>
      </c>
      <c r="D26" s="22">
        <v>3.2986770000000001</v>
      </c>
      <c r="E26" s="22">
        <v>1.4082404E-3</v>
      </c>
      <c r="F26" s="22">
        <v>-3.9632219999999998E-6</v>
      </c>
      <c r="G26" s="22">
        <v>5.6415150000000002E-9</v>
      </c>
      <c r="H26" s="22">
        <v>-2.4448539999999999E-12</v>
      </c>
      <c r="I26" s="22">
        <v>-1020.8999</v>
      </c>
      <c r="J26" s="23">
        <v>3.9503720000000002</v>
      </c>
      <c r="L26" s="5">
        <f>Cp(D26,E26,F26,G26,H26,Launchpad!$H$43)</f>
        <v>29.6342361978</v>
      </c>
      <c r="M26" s="4">
        <f>HRT(Launchpad!$H$43,'Cp,Enthalpy,Entropy Calculation'!D26,'Cp,Enthalpy,Entropy Calculation'!E26,'Cp,Enthalpy,Entropy Calculation'!F26,'Cp,Enthalpy,Entropy Calculation'!G26,'Cp,Enthalpy,Entropy Calculation'!H26,'Cp,Enthalpy,Entropy Calculation'!I26)</f>
        <v>1.4244054687500003</v>
      </c>
      <c r="N26" s="4">
        <f>SR(Launchpad!$H$43,'Cp,Enthalpy,Entropy Calculation'!D26,'Cp,Enthalpy,Entropy Calculation'!E26,'Cp,Enthalpy,Entropy Calculation'!F26,'Cp,Enthalpy,Entropy Calculation'!G26,'Cp,Enthalpy,Entropy Calculation'!H26,'Cp,Enthalpy,Entropy Calculation'!I26,'Cp,Enthalpy,Entropy Calculation'!J26)</f>
        <v>24.855936529529018</v>
      </c>
      <c r="O26" s="4">
        <f t="shared" si="2"/>
        <v>-23.431531060779019</v>
      </c>
      <c r="P26" s="6">
        <v>0</v>
      </c>
    </row>
    <row r="27" spans="2:16" ht="15.75" thickBot="1" x14ac:dyDescent="0.3">
      <c r="B27" s="47" t="s">
        <v>98</v>
      </c>
      <c r="C27" s="48" t="s">
        <v>91</v>
      </c>
      <c r="D27" s="24">
        <v>2.5</v>
      </c>
      <c r="E27" s="46">
        <v>0</v>
      </c>
      <c r="F27" s="46">
        <v>0</v>
      </c>
      <c r="G27" s="46">
        <v>0</v>
      </c>
      <c r="H27" s="46">
        <v>0</v>
      </c>
      <c r="I27" s="24">
        <v>-745.375</v>
      </c>
      <c r="J27" s="25">
        <v>3.3553227200000002</v>
      </c>
      <c r="L27" s="36">
        <f>Cp(D27,E27,F27,G27,H27,Launchpad!$H$43)</f>
        <v>20.785</v>
      </c>
      <c r="M27" s="39">
        <f>HRT(Launchpad!$H$43,'Cp,Enthalpy,Entropy Calculation'!D27,'Cp,Enthalpy,Entropy Calculation'!E27,'Cp,Enthalpy,Entropy Calculation'!F27,'Cp,Enthalpy,Entropy Calculation'!G27,'Cp,Enthalpy,Entropy Calculation'!H27,'Cp,Enthalpy,Entropy Calculation'!I27)</f>
        <v>1.00925</v>
      </c>
      <c r="N27" s="39">
        <f>SR(Launchpad!$H$43,'Cp,Enthalpy,Entropy Calculation'!D27,'Cp,Enthalpy,Entropy Calculation'!E27,'Cp,Enthalpy,Entropy Calculation'!F27,'Cp,Enthalpy,Entropy Calculation'!G27,'Cp,Enthalpy,Entropy Calculation'!H27,'Cp,Enthalpy,Entropy Calculation'!I27,'Cp,Enthalpy,Entropy Calculation'!J27)</f>
        <v>18.891842966055478</v>
      </c>
      <c r="O27" s="39">
        <f t="shared" ref="O27" si="3">M27-N27</f>
        <v>-17.882592966055476</v>
      </c>
      <c r="P27" s="37">
        <v>1</v>
      </c>
    </row>
  </sheetData>
  <mergeCells count="14">
    <mergeCell ref="B16:J17"/>
    <mergeCell ref="L16:P16"/>
    <mergeCell ref="L17:L18"/>
    <mergeCell ref="M17:M18"/>
    <mergeCell ref="N17:N18"/>
    <mergeCell ref="O17:O18"/>
    <mergeCell ref="P17:P18"/>
    <mergeCell ref="P3:P4"/>
    <mergeCell ref="L2:P2"/>
    <mergeCell ref="B2:J3"/>
    <mergeCell ref="L3:L4"/>
    <mergeCell ref="M3:M4"/>
    <mergeCell ref="N3:N4"/>
    <mergeCell ref="O3:O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"/>
  <sheetViews>
    <sheetView topLeftCell="A16" workbookViewId="0">
      <selection activeCell="B33" sqref="B33"/>
    </sheetView>
  </sheetViews>
  <sheetFormatPr defaultRowHeight="15" x14ac:dyDescent="0.25"/>
  <cols>
    <col min="2" max="2" width="17.140625" customWidth="1"/>
    <col min="3" max="3" width="18.85546875" bestFit="1" customWidth="1"/>
    <col min="8" max="8" width="14.7109375" customWidth="1"/>
  </cols>
  <sheetData>
    <row r="3" spans="2:10" ht="15.75" thickBot="1" x14ac:dyDescent="0.3"/>
    <row r="4" spans="2:10" x14ac:dyDescent="0.25">
      <c r="B4" s="293" t="s">
        <v>57</v>
      </c>
      <c r="C4" s="294"/>
    </row>
    <row r="5" spans="2:10" ht="15.75" thickBot="1" x14ac:dyDescent="0.3">
      <c r="B5" s="295"/>
      <c r="C5" s="296"/>
    </row>
    <row r="6" spans="2:10" x14ac:dyDescent="0.25">
      <c r="B6" s="8" t="s">
        <v>0</v>
      </c>
      <c r="C6" s="9" t="s">
        <v>72</v>
      </c>
    </row>
    <row r="7" spans="2:10" x14ac:dyDescent="0.25">
      <c r="B7" s="5"/>
      <c r="C7" s="6"/>
    </row>
    <row r="8" spans="2:10" x14ac:dyDescent="0.25">
      <c r="B8" s="5" t="s">
        <v>3</v>
      </c>
      <c r="C8" s="16">
        <f>Hreactx(Launchpad!H37, 'JANAF Tables'!BE10,Launchpad!H41)</f>
        <v>0</v>
      </c>
    </row>
    <row r="9" spans="2:10" x14ac:dyDescent="0.25">
      <c r="B9" s="5" t="s">
        <v>4</v>
      </c>
      <c r="C9" s="16">
        <f>Hreacty('JANAF Tables'!AV15,Launchpad!H43)</f>
        <v>3137.8591750000005</v>
      </c>
    </row>
    <row r="10" spans="2:10" x14ac:dyDescent="0.25">
      <c r="B10" s="5" t="s">
        <v>48</v>
      </c>
      <c r="C10" s="16">
        <f>Hreactz('JANAF Tables'!BN15,Launchpad!H43)</f>
        <v>11224.95924</v>
      </c>
    </row>
    <row r="11" spans="2:10" ht="15.75" thickBot="1" x14ac:dyDescent="0.3">
      <c r="B11" s="7" t="s">
        <v>64</v>
      </c>
      <c r="C11" s="17">
        <f>SUM(C8:C10)</f>
        <v>14362.818415000002</v>
      </c>
    </row>
    <row r="13" spans="2:10" ht="15.75" thickBot="1" x14ac:dyDescent="0.3"/>
    <row r="14" spans="2:10" ht="18" x14ac:dyDescent="0.35">
      <c r="B14" s="293" t="s">
        <v>63</v>
      </c>
      <c r="C14" s="294"/>
      <c r="G14" t="s">
        <v>73</v>
      </c>
      <c r="H14" s="15">
        <v>2507.2897273355143</v>
      </c>
      <c r="J14" t="s">
        <v>75</v>
      </c>
    </row>
    <row r="15" spans="2:10" ht="15.75" thickBot="1" x14ac:dyDescent="0.3">
      <c r="B15" s="295"/>
      <c r="C15" s="296"/>
    </row>
    <row r="16" spans="2:10" x14ac:dyDescent="0.25">
      <c r="B16" s="12" t="s">
        <v>0</v>
      </c>
      <c r="C16" s="13" t="s">
        <v>72</v>
      </c>
      <c r="G16" t="s">
        <v>78</v>
      </c>
      <c r="H16" s="15">
        <f>H14-Launchpad!H19</f>
        <v>-49.350897664485728</v>
      </c>
    </row>
    <row r="17" spans="1:13" ht="18" x14ac:dyDescent="0.25">
      <c r="A17" s="1"/>
      <c r="B17" s="11" t="s">
        <v>16</v>
      </c>
      <c r="C17" s="18" t="e">
        <f>Hproda(Concentrations!E6,H14)</f>
        <v>#VALUE!</v>
      </c>
    </row>
    <row r="18" spans="1:13" x14ac:dyDescent="0.25">
      <c r="A18" s="1"/>
      <c r="B18" s="5" t="s">
        <v>1</v>
      </c>
      <c r="C18" s="19" t="e">
        <f>Hprodb(Concentrations!E7,'Enthalpy Calculations'!H14)</f>
        <v>#VALUE!</v>
      </c>
    </row>
    <row r="19" spans="1:13" x14ac:dyDescent="0.25">
      <c r="A19" s="1"/>
      <c r="B19" s="5" t="s">
        <v>6</v>
      </c>
      <c r="C19" s="19" t="e">
        <f>Hprodc(Concentrations!E8,'Enthalpy Calculations'!H14)</f>
        <v>#VALUE!</v>
      </c>
    </row>
    <row r="20" spans="1:13" x14ac:dyDescent="0.25">
      <c r="A20" s="1"/>
      <c r="B20" s="5" t="s">
        <v>5</v>
      </c>
      <c r="C20" s="19" t="e">
        <f>Hprodd(Concentrations!E9,'Enthalpy Calculations'!H14)</f>
        <v>#VALUE!</v>
      </c>
    </row>
    <row r="21" spans="1:13" x14ac:dyDescent="0.25">
      <c r="A21" s="1"/>
      <c r="B21" s="5" t="s">
        <v>2</v>
      </c>
      <c r="C21" s="19" t="e">
        <f>Hprode(Concentrations!E10,'Enthalpy Calculations'!H14)</f>
        <v>#VALUE!</v>
      </c>
    </row>
    <row r="22" spans="1:13" x14ac:dyDescent="0.25">
      <c r="A22" s="1"/>
      <c r="B22" s="5" t="s">
        <v>4</v>
      </c>
      <c r="C22" s="19" t="e">
        <f>Hprodf(Concentrations!E11,'Enthalpy Calculations'!H14)</f>
        <v>#VALUE!</v>
      </c>
    </row>
    <row r="23" spans="1:13" x14ac:dyDescent="0.25">
      <c r="A23" s="1"/>
      <c r="B23" s="5" t="s">
        <v>3</v>
      </c>
      <c r="C23" s="19" t="e">
        <f>Hprodg(Concentrations!E12,'Enthalpy Calculations'!I14)</f>
        <v>#VALUE!</v>
      </c>
    </row>
    <row r="24" spans="1:13" ht="15.75" thickBot="1" x14ac:dyDescent="0.3">
      <c r="A24" s="1"/>
      <c r="B24" s="7" t="s">
        <v>48</v>
      </c>
      <c r="C24" s="20" t="e">
        <f>Hprodh(Concentrations!E13,'Enthalpy Calculations'!H14)</f>
        <v>#VALUE!</v>
      </c>
    </row>
    <row r="25" spans="1:13" ht="15.75" thickBot="1" x14ac:dyDescent="0.3">
      <c r="C25" s="3"/>
    </row>
    <row r="26" spans="1:13" ht="15.75" thickBot="1" x14ac:dyDescent="0.3">
      <c r="B26" s="14" t="s">
        <v>64</v>
      </c>
      <c r="C26" s="21" t="e">
        <f>SUM(C17:C24)</f>
        <v>#VALUE!</v>
      </c>
    </row>
    <row r="27" spans="1:13" x14ac:dyDescent="0.25">
      <c r="C27" s="3"/>
    </row>
    <row r="28" spans="1:13" ht="15.75" thickBot="1" x14ac:dyDescent="0.3">
      <c r="C28" s="3"/>
    </row>
    <row r="29" spans="1:13" ht="18.75" thickBot="1" x14ac:dyDescent="0.4">
      <c r="B29" s="10" t="s">
        <v>65</v>
      </c>
      <c r="C29" s="21" t="e">
        <f>C26-C11</f>
        <v>#VALUE!</v>
      </c>
      <c r="G29" s="297" t="s">
        <v>74</v>
      </c>
      <c r="H29" s="297"/>
      <c r="I29" s="297"/>
      <c r="J29" s="297"/>
      <c r="K29" s="297"/>
      <c r="L29" s="297"/>
      <c r="M29" s="297"/>
    </row>
  </sheetData>
  <mergeCells count="3">
    <mergeCell ref="B4:C5"/>
    <mergeCell ref="B14:C15"/>
    <mergeCell ref="G29:M29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C10"/>
  <sheetViews>
    <sheetView workbookViewId="0">
      <selection activeCell="C6" sqref="C6"/>
    </sheetView>
  </sheetViews>
  <sheetFormatPr defaultRowHeight="15" x14ac:dyDescent="0.25"/>
  <cols>
    <col min="3" max="3" width="17.42578125" customWidth="1"/>
  </cols>
  <sheetData>
    <row r="3" spans="2:3" ht="15.75" thickBot="1" x14ac:dyDescent="0.3"/>
    <row r="4" spans="2:3" x14ac:dyDescent="0.25">
      <c r="B4" s="293" t="s">
        <v>46</v>
      </c>
      <c r="C4" s="294"/>
    </row>
    <row r="5" spans="2:3" ht="15.75" thickBot="1" x14ac:dyDescent="0.3">
      <c r="B5" s="295"/>
      <c r="C5" s="296"/>
    </row>
    <row r="6" spans="2:3" x14ac:dyDescent="0.25">
      <c r="B6" s="115" t="s">
        <v>41</v>
      </c>
      <c r="C6" s="140">
        <f>EXP(-'Cp,Enthalpy,Entropy Calculation'!P5)</f>
        <v>128.5859484109904</v>
      </c>
    </row>
    <row r="7" spans="2:3" x14ac:dyDescent="0.25">
      <c r="B7" s="116" t="s">
        <v>42</v>
      </c>
      <c r="C7" s="141">
        <f>EXP(-'Cp,Enthalpy,Entropy Calculation'!P6)</f>
        <v>6.2517064835906785E-2</v>
      </c>
    </row>
    <row r="8" spans="2:3" x14ac:dyDescent="0.25">
      <c r="B8" s="116" t="s">
        <v>43</v>
      </c>
      <c r="C8" s="141">
        <f>EXP(-'Cp,Enthalpy,Entropy Calculation'!P7)</f>
        <v>3.2106878080389242E-2</v>
      </c>
    </row>
    <row r="9" spans="2:3" x14ac:dyDescent="0.25">
      <c r="B9" s="116" t="s">
        <v>44</v>
      </c>
      <c r="C9" s="141">
        <f>EXP(-'Cp,Enthalpy,Entropy Calculation'!P8)</f>
        <v>1.9024701240165049E-2</v>
      </c>
    </row>
    <row r="10" spans="2:3" ht="15.75" thickBot="1" x14ac:dyDescent="0.3">
      <c r="B10" s="117" t="s">
        <v>45</v>
      </c>
      <c r="C10" s="142">
        <f>EXP(-'Cp,Enthalpy,Entropy Calculation'!P9)</f>
        <v>0.91000502753960344</v>
      </c>
    </row>
  </sheetData>
  <mergeCells count="1">
    <mergeCell ref="B4:C5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1:N54"/>
  <sheetViews>
    <sheetView showGridLines="0" topLeftCell="A41" workbookViewId="0">
      <selection activeCell="A54" sqref="A54"/>
    </sheetView>
  </sheetViews>
  <sheetFormatPr defaultRowHeight="15" x14ac:dyDescent="0.25"/>
  <cols>
    <col min="4" max="4" width="20" customWidth="1"/>
    <col min="5" max="5" width="19.5703125" customWidth="1"/>
    <col min="6" max="6" width="11.85546875" customWidth="1"/>
  </cols>
  <sheetData>
    <row r="1" spans="3:14" ht="15.75" thickBot="1" x14ac:dyDescent="0.3"/>
    <row r="2" spans="3:14" x14ac:dyDescent="0.25">
      <c r="C2" s="154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3:14" ht="15.75" thickBot="1" x14ac:dyDescent="0.3">
      <c r="C3" s="148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50"/>
    </row>
    <row r="4" spans="3:14" ht="15" customHeight="1" x14ac:dyDescent="0.25">
      <c r="C4" s="148"/>
      <c r="D4" s="313" t="s">
        <v>89</v>
      </c>
      <c r="E4" s="314"/>
      <c r="F4" s="314"/>
      <c r="G4" s="315"/>
      <c r="H4" s="149"/>
      <c r="I4" s="149"/>
      <c r="J4" s="149"/>
      <c r="K4" s="149"/>
      <c r="L4" s="149"/>
      <c r="M4" s="149"/>
      <c r="N4" s="150"/>
    </row>
    <row r="5" spans="3:14" x14ac:dyDescent="0.25">
      <c r="C5" s="148"/>
      <c r="D5" s="316"/>
      <c r="E5" s="317"/>
      <c r="F5" s="317"/>
      <c r="G5" s="318"/>
      <c r="H5" s="149"/>
      <c r="I5" s="149"/>
      <c r="J5" s="149"/>
      <c r="K5" s="149"/>
      <c r="L5" s="149"/>
      <c r="M5" s="149"/>
      <c r="N5" s="150"/>
    </row>
    <row r="6" spans="3:14" ht="15.75" thickBot="1" x14ac:dyDescent="0.3">
      <c r="C6" s="148"/>
      <c r="D6" s="319"/>
      <c r="E6" s="320"/>
      <c r="F6" s="320"/>
      <c r="G6" s="321"/>
      <c r="H6" s="149"/>
      <c r="I6" s="149"/>
      <c r="J6" s="149"/>
      <c r="K6" s="149"/>
      <c r="L6" s="149"/>
      <c r="M6" s="149"/>
      <c r="N6" s="150"/>
    </row>
    <row r="7" spans="3:14" x14ac:dyDescent="0.25">
      <c r="C7" s="148"/>
      <c r="D7" s="338" t="s">
        <v>51</v>
      </c>
      <c r="E7" s="340" t="s">
        <v>1</v>
      </c>
      <c r="F7" s="342" t="s">
        <v>88</v>
      </c>
      <c r="G7" s="311" t="s">
        <v>130</v>
      </c>
      <c r="H7" s="149"/>
      <c r="I7" s="149"/>
      <c r="J7" s="149"/>
      <c r="K7" s="304" t="s">
        <v>131</v>
      </c>
      <c r="L7" s="304" t="s">
        <v>132</v>
      </c>
      <c r="M7" s="306" t="s">
        <v>133</v>
      </c>
      <c r="N7" s="150"/>
    </row>
    <row r="8" spans="3:14" ht="15.75" thickBot="1" x14ac:dyDescent="0.3">
      <c r="C8" s="148"/>
      <c r="D8" s="339"/>
      <c r="E8" s="341"/>
      <c r="F8" s="343"/>
      <c r="G8" s="312"/>
      <c r="H8" s="149"/>
      <c r="I8" s="149"/>
      <c r="J8" s="149"/>
      <c r="K8" s="305"/>
      <c r="L8" s="305"/>
      <c r="M8" s="307"/>
      <c r="N8" s="150"/>
    </row>
    <row r="9" spans="3:14" x14ac:dyDescent="0.25">
      <c r="C9" s="148"/>
      <c r="D9" s="115">
        <v>0.7</v>
      </c>
      <c r="E9" s="118">
        <v>1.4249566117810067E-2</v>
      </c>
      <c r="F9" s="115">
        <v>2147.1999999999998</v>
      </c>
      <c r="G9" s="121">
        <v>2262</v>
      </c>
      <c r="H9" s="149"/>
      <c r="I9" s="149"/>
      <c r="J9" s="149"/>
      <c r="K9" s="170">
        <f>(F9-G9)</f>
        <v>-114.80000000000018</v>
      </c>
      <c r="L9" s="171">
        <f>K9/G9</f>
        <v>-5.075154730327152E-2</v>
      </c>
      <c r="M9" s="308">
        <f>AVERAGE(L9:L15)*100</f>
        <v>-3.7029566044605549</v>
      </c>
      <c r="N9" s="150"/>
    </row>
    <row r="10" spans="3:14" x14ac:dyDescent="0.25">
      <c r="C10" s="148"/>
      <c r="D10" s="116">
        <v>0.8</v>
      </c>
      <c r="E10" s="119">
        <v>1.633008801990021E-2</v>
      </c>
      <c r="F10" s="116">
        <v>2307.3000000000002</v>
      </c>
      <c r="G10" s="122">
        <v>2400</v>
      </c>
      <c r="H10" s="301" t="s">
        <v>144</v>
      </c>
      <c r="I10" s="302"/>
      <c r="J10" s="303"/>
      <c r="K10" s="172">
        <f t="shared" ref="K10:K15" si="0">(F10-G10)</f>
        <v>-92.699999999999818</v>
      </c>
      <c r="L10" s="173">
        <f t="shared" ref="L10:L15" si="1">K10/G10</f>
        <v>-3.8624999999999923E-2</v>
      </c>
      <c r="M10" s="309"/>
      <c r="N10" s="150"/>
    </row>
    <row r="11" spans="3:14" x14ac:dyDescent="0.25">
      <c r="C11" s="148"/>
      <c r="D11" s="116">
        <v>0.9</v>
      </c>
      <c r="E11" s="119">
        <v>1.5094978662644793E-2</v>
      </c>
      <c r="F11" s="116">
        <v>2451.5</v>
      </c>
      <c r="G11" s="122">
        <v>2540</v>
      </c>
      <c r="H11" s="149"/>
      <c r="I11" s="149"/>
      <c r="J11" s="149"/>
      <c r="K11" s="172">
        <f t="shared" si="0"/>
        <v>-88.5</v>
      </c>
      <c r="L11" s="173">
        <f t="shared" si="1"/>
        <v>-3.4842519685039368E-2</v>
      </c>
      <c r="M11" s="309"/>
      <c r="N11" s="150"/>
    </row>
    <row r="12" spans="3:14" x14ac:dyDescent="0.25">
      <c r="C12" s="148"/>
      <c r="D12" s="116">
        <v>1</v>
      </c>
      <c r="E12" s="119">
        <v>8.4000993778820168E-3</v>
      </c>
      <c r="F12" s="116">
        <v>2556.5</v>
      </c>
      <c r="G12" s="122">
        <v>2630</v>
      </c>
      <c r="H12" s="149"/>
      <c r="I12" s="149"/>
      <c r="J12" s="149"/>
      <c r="K12" s="172">
        <f t="shared" si="0"/>
        <v>-73.5</v>
      </c>
      <c r="L12" s="173">
        <f t="shared" si="1"/>
        <v>-2.7946768060836503E-2</v>
      </c>
      <c r="M12" s="309"/>
      <c r="N12" s="150"/>
    </row>
    <row r="13" spans="3:14" x14ac:dyDescent="0.25">
      <c r="C13" s="148"/>
      <c r="D13" s="116">
        <v>1.1000000000000001</v>
      </c>
      <c r="E13" s="119">
        <v>2.443784573731231E-3</v>
      </c>
      <c r="F13" s="116">
        <v>2553.5</v>
      </c>
      <c r="G13" s="122">
        <v>2639</v>
      </c>
      <c r="H13" s="149"/>
      <c r="I13" s="149"/>
      <c r="J13" s="149"/>
      <c r="K13" s="172">
        <f t="shared" si="0"/>
        <v>-85.5</v>
      </c>
      <c r="L13" s="173">
        <f t="shared" si="1"/>
        <v>-3.2398635846911709E-2</v>
      </c>
      <c r="M13" s="309"/>
      <c r="N13" s="150"/>
    </row>
    <row r="14" spans="3:14" x14ac:dyDescent="0.25">
      <c r="C14" s="148"/>
      <c r="D14" s="116">
        <v>1.2</v>
      </c>
      <c r="E14" s="119">
        <v>9.4739121621512622E-4</v>
      </c>
      <c r="F14" s="116">
        <v>2506</v>
      </c>
      <c r="G14" s="122">
        <v>2600</v>
      </c>
      <c r="H14" s="149"/>
      <c r="I14" s="149"/>
      <c r="J14" s="149"/>
      <c r="K14" s="172">
        <f t="shared" si="0"/>
        <v>-94</v>
      </c>
      <c r="L14" s="173">
        <f t="shared" si="1"/>
        <v>-3.6153846153846154E-2</v>
      </c>
      <c r="M14" s="309"/>
      <c r="N14" s="150"/>
    </row>
    <row r="15" spans="3:14" ht="15.75" thickBot="1" x14ac:dyDescent="0.3">
      <c r="C15" s="148"/>
      <c r="D15" s="117">
        <v>1.3</v>
      </c>
      <c r="E15" s="120">
        <v>4.5874734309689249E-4</v>
      </c>
      <c r="F15" s="117">
        <v>2455.6999999999998</v>
      </c>
      <c r="G15" s="123">
        <v>2554</v>
      </c>
      <c r="H15" s="149"/>
      <c r="I15" s="149"/>
      <c r="J15" s="149"/>
      <c r="K15" s="174">
        <f t="shared" si="0"/>
        <v>-98.300000000000182</v>
      </c>
      <c r="L15" s="175">
        <f t="shared" si="1"/>
        <v>-3.8488645262333664E-2</v>
      </c>
      <c r="M15" s="310"/>
      <c r="N15" s="150"/>
    </row>
    <row r="16" spans="3:14" x14ac:dyDescent="0.25">
      <c r="C16" s="148"/>
      <c r="D16" s="149"/>
      <c r="E16" s="149"/>
      <c r="F16" s="149"/>
      <c r="G16" s="149"/>
      <c r="H16" s="149"/>
      <c r="I16" s="149"/>
      <c r="J16" s="149"/>
      <c r="K16" s="149"/>
      <c r="L16" s="149"/>
      <c r="M16" s="149"/>
      <c r="N16" s="150"/>
    </row>
    <row r="17" spans="3:14" x14ac:dyDescent="0.25">
      <c r="C17" s="148"/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50"/>
    </row>
    <row r="18" spans="3:14" x14ac:dyDescent="0.25">
      <c r="C18" s="148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50"/>
    </row>
    <row r="19" spans="3:14" ht="15.75" thickBot="1" x14ac:dyDescent="0.3">
      <c r="C19" s="148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50"/>
    </row>
    <row r="20" spans="3:14" x14ac:dyDescent="0.25">
      <c r="C20" s="148"/>
      <c r="D20" s="322" t="s">
        <v>90</v>
      </c>
      <c r="E20" s="323"/>
      <c r="F20" s="324"/>
      <c r="G20" s="149"/>
      <c r="H20" s="149"/>
      <c r="I20" s="149"/>
      <c r="J20" s="149"/>
      <c r="K20" s="149"/>
      <c r="L20" s="149"/>
      <c r="M20" s="149"/>
      <c r="N20" s="150"/>
    </row>
    <row r="21" spans="3:14" x14ac:dyDescent="0.25">
      <c r="C21" s="148"/>
      <c r="D21" s="325"/>
      <c r="E21" s="326"/>
      <c r="F21" s="327"/>
      <c r="G21" s="149"/>
      <c r="H21" s="149"/>
      <c r="I21" s="149"/>
      <c r="J21" s="149"/>
      <c r="K21" s="149"/>
      <c r="L21" s="149"/>
      <c r="M21" s="149"/>
      <c r="N21" s="150"/>
    </row>
    <row r="22" spans="3:14" ht="15.75" thickBot="1" x14ac:dyDescent="0.3">
      <c r="C22" s="148"/>
      <c r="D22" s="325"/>
      <c r="E22" s="326"/>
      <c r="F22" s="327"/>
      <c r="G22" s="149"/>
      <c r="H22" s="149"/>
      <c r="I22" s="149"/>
      <c r="J22" s="149"/>
      <c r="K22" s="149"/>
      <c r="L22" s="149"/>
      <c r="M22" s="149"/>
      <c r="N22" s="150"/>
    </row>
    <row r="23" spans="3:14" x14ac:dyDescent="0.25">
      <c r="C23" s="148"/>
      <c r="D23" s="332" t="s">
        <v>51</v>
      </c>
      <c r="E23" s="334" t="s">
        <v>1</v>
      </c>
      <c r="F23" s="336" t="s">
        <v>88</v>
      </c>
      <c r="G23" s="149"/>
      <c r="H23" s="149"/>
      <c r="I23" s="149"/>
      <c r="J23" s="149"/>
      <c r="K23" s="149"/>
      <c r="L23" s="149"/>
      <c r="M23" s="149"/>
      <c r="N23" s="150"/>
    </row>
    <row r="24" spans="3:14" ht="15.75" thickBot="1" x14ac:dyDescent="0.3">
      <c r="C24" s="148"/>
      <c r="D24" s="333"/>
      <c r="E24" s="335"/>
      <c r="F24" s="337"/>
      <c r="G24" s="149"/>
      <c r="H24" s="149"/>
      <c r="I24" s="149"/>
      <c r="J24" s="149"/>
      <c r="K24" s="149"/>
      <c r="L24" s="149"/>
      <c r="M24" s="149"/>
      <c r="N24" s="150"/>
    </row>
    <row r="25" spans="3:14" x14ac:dyDescent="0.25">
      <c r="C25" s="148"/>
      <c r="D25" s="11">
        <v>0.7</v>
      </c>
      <c r="E25" s="32">
        <v>1.3790149534016567E-2</v>
      </c>
      <c r="F25" s="27">
        <v>2135</v>
      </c>
      <c r="G25" s="149"/>
      <c r="H25" s="149"/>
      <c r="I25" s="149"/>
      <c r="J25" s="149"/>
      <c r="K25" s="149"/>
      <c r="L25" s="149"/>
      <c r="M25" s="149"/>
      <c r="N25" s="150"/>
    </row>
    <row r="26" spans="3:14" x14ac:dyDescent="0.25">
      <c r="C26" s="148"/>
      <c r="D26" s="5">
        <v>0.8</v>
      </c>
      <c r="E26" s="30">
        <v>1.5459957262337891E-2</v>
      </c>
      <c r="F26" s="6">
        <v>2283</v>
      </c>
      <c r="G26" s="149"/>
      <c r="H26" s="149"/>
      <c r="I26" s="149"/>
      <c r="J26" s="149"/>
      <c r="K26" s="149"/>
      <c r="L26" s="149"/>
      <c r="M26" s="149"/>
      <c r="N26" s="150"/>
    </row>
    <row r="27" spans="3:14" x14ac:dyDescent="0.25">
      <c r="C27" s="148"/>
      <c r="D27" s="5">
        <v>0.9</v>
      </c>
      <c r="E27" s="30">
        <v>1.4153324970395327E-2</v>
      </c>
      <c r="F27" s="6">
        <v>2404</v>
      </c>
      <c r="G27" s="149"/>
      <c r="H27" s="149"/>
      <c r="I27" s="149"/>
      <c r="J27" s="149"/>
      <c r="K27" s="149"/>
      <c r="L27" s="149"/>
      <c r="M27" s="149"/>
      <c r="N27" s="150"/>
    </row>
    <row r="28" spans="3:14" x14ac:dyDescent="0.25">
      <c r="C28" s="148"/>
      <c r="D28" s="5">
        <v>1</v>
      </c>
      <c r="E28" s="30">
        <v>9.5517672872900503E-3</v>
      </c>
      <c r="F28" s="6">
        <v>2483</v>
      </c>
      <c r="G28" s="149"/>
      <c r="H28" s="149"/>
      <c r="I28" s="149"/>
      <c r="J28" s="149"/>
      <c r="K28" s="149"/>
      <c r="L28" s="149"/>
      <c r="M28" s="149"/>
      <c r="N28" s="150"/>
    </row>
    <row r="29" spans="3:14" x14ac:dyDescent="0.25">
      <c r="C29" s="148"/>
      <c r="D29" s="5">
        <v>1.1000000000000001</v>
      </c>
      <c r="E29" s="30">
        <v>4.6929073720918223E-3</v>
      </c>
      <c r="F29" s="6">
        <v>2496</v>
      </c>
      <c r="G29" s="149"/>
      <c r="H29" s="149"/>
      <c r="I29" s="149"/>
      <c r="J29" s="149"/>
      <c r="K29" s="149"/>
      <c r="L29" s="149"/>
      <c r="M29" s="149"/>
      <c r="N29" s="150"/>
    </row>
    <row r="30" spans="3:14" x14ac:dyDescent="0.25">
      <c r="C30" s="148"/>
      <c r="D30" s="5">
        <v>1.2</v>
      </c>
      <c r="E30" s="30">
        <v>2.2601955607191551E-3</v>
      </c>
      <c r="F30" s="6">
        <v>2468</v>
      </c>
      <c r="G30" s="149"/>
      <c r="H30" s="149"/>
      <c r="I30" s="149"/>
      <c r="J30" s="149"/>
      <c r="K30" s="149"/>
      <c r="L30" s="149"/>
      <c r="M30" s="149"/>
      <c r="N30" s="150"/>
    </row>
    <row r="31" spans="3:14" ht="15.75" thickBot="1" x14ac:dyDescent="0.3">
      <c r="C31" s="148"/>
      <c r="D31" s="36">
        <v>1.3</v>
      </c>
      <c r="E31" s="31">
        <v>1.185147172693273E-3</v>
      </c>
      <c r="F31" s="114">
        <v>2427.5</v>
      </c>
      <c r="G31" s="149"/>
      <c r="H31" s="149"/>
      <c r="I31" s="149"/>
      <c r="J31" s="149"/>
      <c r="K31" s="149"/>
      <c r="L31" s="149"/>
      <c r="M31" s="149"/>
      <c r="N31" s="150"/>
    </row>
    <row r="32" spans="3:14" x14ac:dyDescent="0.25">
      <c r="C32" s="148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50"/>
    </row>
    <row r="33" spans="3:14" x14ac:dyDescent="0.25">
      <c r="C33" s="148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50"/>
    </row>
    <row r="34" spans="3:14" ht="15.75" thickBot="1" x14ac:dyDescent="0.3">
      <c r="C34" s="148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50"/>
    </row>
    <row r="35" spans="3:14" ht="15.75" thickBot="1" x14ac:dyDescent="0.3">
      <c r="C35" s="148"/>
      <c r="D35" s="270" t="s">
        <v>93</v>
      </c>
      <c r="E35" s="272"/>
      <c r="F35" s="49">
        <v>0.8734385870068696</v>
      </c>
      <c r="G35" s="149"/>
      <c r="H35" s="149"/>
      <c r="I35" s="149"/>
      <c r="J35" s="149"/>
      <c r="K35" s="149"/>
      <c r="L35" s="149"/>
      <c r="M35" s="149"/>
      <c r="N35" s="150"/>
    </row>
    <row r="36" spans="3:14" x14ac:dyDescent="0.25">
      <c r="C36" s="148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50"/>
    </row>
    <row r="37" spans="3:14" ht="15.75" thickBot="1" x14ac:dyDescent="0.3">
      <c r="C37" s="148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50"/>
    </row>
    <row r="38" spans="3:14" ht="15" customHeight="1" x14ac:dyDescent="0.25">
      <c r="C38" s="148"/>
      <c r="D38" s="328" t="s">
        <v>96</v>
      </c>
      <c r="E38" s="329"/>
      <c r="F38" s="149"/>
      <c r="G38" s="149"/>
      <c r="H38" s="149"/>
      <c r="I38" s="149"/>
      <c r="J38" s="149"/>
      <c r="K38" s="149"/>
      <c r="L38" s="149"/>
      <c r="M38" s="149"/>
      <c r="N38" s="150"/>
    </row>
    <row r="39" spans="3:14" ht="15.75" thickBot="1" x14ac:dyDescent="0.3">
      <c r="C39" s="148"/>
      <c r="D39" s="330"/>
      <c r="E39" s="331"/>
      <c r="F39" s="149"/>
      <c r="G39" s="149"/>
      <c r="H39" s="149"/>
      <c r="I39" s="149"/>
      <c r="J39" s="149"/>
      <c r="K39" s="149"/>
      <c r="L39" s="149"/>
      <c r="M39" s="149"/>
      <c r="N39" s="150"/>
    </row>
    <row r="40" spans="3:14" ht="15.75" thickBot="1" x14ac:dyDescent="0.3">
      <c r="C40" s="148"/>
      <c r="D40" s="110" t="s">
        <v>94</v>
      </c>
      <c r="E40" s="111" t="s">
        <v>95</v>
      </c>
      <c r="F40" s="149"/>
      <c r="G40" s="149"/>
      <c r="H40" s="149"/>
      <c r="I40" s="149"/>
      <c r="J40" s="149"/>
      <c r="K40" s="149"/>
      <c r="L40" s="149"/>
      <c r="M40" s="149"/>
      <c r="N40" s="150"/>
    </row>
    <row r="41" spans="3:14" x14ac:dyDescent="0.25">
      <c r="C41" s="148"/>
      <c r="D41" s="11">
        <v>2</v>
      </c>
      <c r="E41" s="27">
        <v>2483</v>
      </c>
      <c r="F41" s="149"/>
      <c r="G41" s="149"/>
      <c r="H41" s="149"/>
      <c r="I41" s="149"/>
      <c r="J41" s="149"/>
      <c r="K41" s="149"/>
      <c r="L41" s="149"/>
      <c r="M41" s="149"/>
      <c r="N41" s="150"/>
    </row>
    <row r="42" spans="3:14" x14ac:dyDescent="0.25">
      <c r="C42" s="148"/>
      <c r="D42" s="5">
        <v>5</v>
      </c>
      <c r="E42" s="6">
        <v>2518</v>
      </c>
      <c r="F42" s="149"/>
      <c r="G42" s="149"/>
      <c r="H42" s="149"/>
      <c r="I42" s="149"/>
      <c r="J42" s="149"/>
      <c r="K42" s="149"/>
      <c r="L42" s="149"/>
      <c r="M42" s="149"/>
      <c r="N42" s="150"/>
    </row>
    <row r="43" spans="3:14" x14ac:dyDescent="0.25">
      <c r="C43" s="148"/>
      <c r="D43" s="5">
        <v>10</v>
      </c>
      <c r="E43" s="6">
        <v>2539</v>
      </c>
      <c r="F43" s="149"/>
      <c r="G43" s="149"/>
      <c r="H43" s="149"/>
      <c r="I43" s="149"/>
      <c r="J43" s="149"/>
      <c r="K43" s="149"/>
      <c r="L43" s="149"/>
      <c r="M43" s="149"/>
      <c r="N43" s="150"/>
    </row>
    <row r="44" spans="3:14" ht="15.75" thickBot="1" x14ac:dyDescent="0.3">
      <c r="C44" s="148"/>
      <c r="D44" s="36">
        <v>20</v>
      </c>
      <c r="E44" s="114">
        <v>2556.5</v>
      </c>
      <c r="F44" s="149"/>
      <c r="G44" s="149"/>
      <c r="H44" s="149"/>
      <c r="I44" s="149"/>
      <c r="J44" s="149"/>
      <c r="K44" s="149"/>
      <c r="L44" s="149"/>
      <c r="M44" s="149"/>
      <c r="N44" s="150"/>
    </row>
    <row r="45" spans="3:14" x14ac:dyDescent="0.25">
      <c r="C45" s="148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50"/>
    </row>
    <row r="46" spans="3:14" ht="15.75" thickBot="1" x14ac:dyDescent="0.3">
      <c r="C46" s="148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50"/>
    </row>
    <row r="47" spans="3:14" ht="15.75" thickBot="1" x14ac:dyDescent="0.3">
      <c r="C47" s="148"/>
      <c r="D47" s="298" t="s">
        <v>97</v>
      </c>
      <c r="E47" s="299"/>
      <c r="F47" s="299"/>
      <c r="G47" s="300"/>
      <c r="H47" s="149"/>
      <c r="I47" s="149"/>
      <c r="J47" s="149"/>
      <c r="K47" s="149"/>
      <c r="L47" s="149"/>
      <c r="M47" s="149"/>
      <c r="N47" s="150"/>
    </row>
    <row r="48" spans="3:14" ht="15.75" thickBot="1" x14ac:dyDescent="0.3">
      <c r="C48" s="148"/>
      <c r="D48" s="110" t="s">
        <v>88</v>
      </c>
      <c r="E48" s="111" t="s">
        <v>51</v>
      </c>
      <c r="F48" s="111" t="s">
        <v>91</v>
      </c>
      <c r="G48" s="112" t="s">
        <v>1</v>
      </c>
      <c r="H48" s="149"/>
      <c r="I48" s="149"/>
      <c r="J48" s="149"/>
      <c r="K48" s="149"/>
      <c r="L48" s="149"/>
      <c r="M48" s="149"/>
      <c r="N48" s="150"/>
    </row>
    <row r="49" spans="3:14" x14ac:dyDescent="0.25">
      <c r="C49" s="148"/>
      <c r="D49" s="11">
        <v>2135</v>
      </c>
      <c r="E49" s="26">
        <v>0.7</v>
      </c>
      <c r="F49" s="26">
        <v>1.5049914954262069</v>
      </c>
      <c r="G49" s="59">
        <v>1.9134914800075565E-3</v>
      </c>
      <c r="H49" s="149"/>
      <c r="I49" s="149"/>
      <c r="J49" s="149"/>
      <c r="K49" s="149"/>
      <c r="L49" s="149"/>
      <c r="M49" s="149"/>
      <c r="N49" s="150"/>
    </row>
    <row r="50" spans="3:14" x14ac:dyDescent="0.25">
      <c r="C50" s="148"/>
      <c r="D50" s="5">
        <v>2229.1</v>
      </c>
      <c r="E50" s="4">
        <v>0.75</v>
      </c>
      <c r="F50" s="4">
        <v>1.172509247959062</v>
      </c>
      <c r="G50" s="16">
        <v>2.6775673223546365E-3</v>
      </c>
      <c r="H50" s="149"/>
      <c r="I50" s="149"/>
      <c r="J50" s="149"/>
      <c r="K50" s="149"/>
      <c r="L50" s="149"/>
      <c r="M50" s="149"/>
      <c r="N50" s="150"/>
    </row>
    <row r="51" spans="3:14" ht="15.75" thickBot="1" x14ac:dyDescent="0.3">
      <c r="C51" s="148"/>
      <c r="D51" s="36">
        <v>2283</v>
      </c>
      <c r="E51" s="113">
        <v>0.8</v>
      </c>
      <c r="F51" s="113">
        <v>0.87343858700686949</v>
      </c>
      <c r="G51" s="17">
        <v>3.6280352715815992E-3</v>
      </c>
      <c r="H51" s="149"/>
      <c r="I51" s="149"/>
      <c r="J51" s="149"/>
      <c r="K51" s="149"/>
      <c r="L51" s="149"/>
      <c r="M51" s="149"/>
      <c r="N51" s="150"/>
    </row>
    <row r="52" spans="3:14" x14ac:dyDescent="0.25">
      <c r="C52" s="148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50"/>
    </row>
    <row r="53" spans="3:14" x14ac:dyDescent="0.25">
      <c r="C53" s="148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50"/>
    </row>
    <row r="54" spans="3:14" ht="15.75" thickBot="1" x14ac:dyDescent="0.3">
      <c r="C54" s="151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3"/>
    </row>
  </sheetData>
  <mergeCells count="17">
    <mergeCell ref="D4:G6"/>
    <mergeCell ref="D20:F22"/>
    <mergeCell ref="D35:E35"/>
    <mergeCell ref="D38:E39"/>
    <mergeCell ref="D23:D24"/>
    <mergeCell ref="E23:E24"/>
    <mergeCell ref="F23:F24"/>
    <mergeCell ref="D7:D8"/>
    <mergeCell ref="E7:E8"/>
    <mergeCell ref="F7:F8"/>
    <mergeCell ref="D47:G47"/>
    <mergeCell ref="H10:J10"/>
    <mergeCell ref="K7:K8"/>
    <mergeCell ref="L7:L8"/>
    <mergeCell ref="M7:M8"/>
    <mergeCell ref="M9:M15"/>
    <mergeCell ref="G7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ressureplot">
                <anchor moveWithCells="1" sizeWithCells="1">
                  <from>
                    <xdr:col>7</xdr:col>
                    <xdr:colOff>600075</xdr:colOff>
                    <xdr:row>23</xdr:row>
                    <xdr:rowOff>190500</xdr:rowOff>
                  </from>
                  <to>
                    <xdr:col>11</xdr:col>
                    <xdr:colOff>485775</xdr:colOff>
                    <xdr:row>28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T70"/>
  <sheetViews>
    <sheetView topLeftCell="A16" workbookViewId="0">
      <selection activeCell="H31" sqref="H31"/>
    </sheetView>
  </sheetViews>
  <sheetFormatPr defaultRowHeight="15" x14ac:dyDescent="0.25"/>
  <cols>
    <col min="2" max="2" width="12" bestFit="1" customWidth="1"/>
    <col min="3" max="3" width="8.140625" bestFit="1" customWidth="1"/>
    <col min="4" max="4" width="8" bestFit="1" customWidth="1"/>
    <col min="5" max="5" width="11.42578125" bestFit="1" customWidth="1"/>
    <col min="6" max="6" width="8" bestFit="1" customWidth="1"/>
    <col min="7" max="8" width="8.7109375" bestFit="1" customWidth="1"/>
    <col min="9" max="9" width="8.5703125" bestFit="1" customWidth="1"/>
    <col min="11" max="11" width="19.5703125" bestFit="1" customWidth="1"/>
    <col min="12" max="12" width="8.28515625" bestFit="1" customWidth="1"/>
    <col min="13" max="13" width="8" bestFit="1" customWidth="1"/>
    <col min="14" max="14" width="11.42578125" bestFit="1" customWidth="1"/>
    <col min="15" max="15" width="8" bestFit="1" customWidth="1"/>
    <col min="16" max="17" width="8.7109375" bestFit="1" customWidth="1"/>
    <col min="18" max="18" width="8.5703125" bestFit="1" customWidth="1"/>
    <col min="20" max="20" width="12.7109375" bestFit="1" customWidth="1"/>
    <col min="21" max="21" width="7" bestFit="1" customWidth="1"/>
    <col min="22" max="22" width="8" bestFit="1" customWidth="1"/>
    <col min="23" max="23" width="11.42578125" bestFit="1" customWidth="1"/>
    <col min="24" max="24" width="8" bestFit="1" customWidth="1"/>
    <col min="25" max="27" width="8.7109375" bestFit="1" customWidth="1"/>
    <col min="29" max="29" width="11" bestFit="1" customWidth="1"/>
    <col min="30" max="30" width="7" bestFit="1" customWidth="1"/>
    <col min="31" max="31" width="8" bestFit="1" customWidth="1"/>
    <col min="32" max="32" width="11.42578125" bestFit="1" customWidth="1"/>
    <col min="33" max="33" width="8" bestFit="1" customWidth="1"/>
    <col min="34" max="36" width="8.7109375" bestFit="1" customWidth="1"/>
    <col min="38" max="38" width="13.5703125" bestFit="1" customWidth="1"/>
    <col min="39" max="39" width="8.140625" bestFit="1" customWidth="1"/>
    <col min="40" max="40" width="8" bestFit="1" customWidth="1"/>
    <col min="41" max="41" width="11.42578125" bestFit="1" customWidth="1"/>
    <col min="42" max="42" width="8" bestFit="1" customWidth="1"/>
    <col min="43" max="44" width="8.7109375" bestFit="1" customWidth="1"/>
    <col min="45" max="45" width="8.5703125" bestFit="1" customWidth="1"/>
    <col min="47" max="47" width="12" bestFit="1" customWidth="1"/>
    <col min="48" max="48" width="7.42578125" bestFit="1" customWidth="1"/>
    <col min="49" max="49" width="8" bestFit="1" customWidth="1"/>
    <col min="50" max="50" width="11.42578125" bestFit="1" customWidth="1"/>
    <col min="51" max="51" width="8" bestFit="1" customWidth="1"/>
    <col min="52" max="53" width="8.7109375" bestFit="1" customWidth="1"/>
    <col min="54" max="54" width="6" bestFit="1" customWidth="1"/>
    <col min="56" max="56" width="13.85546875" bestFit="1" customWidth="1"/>
    <col min="57" max="57" width="7.28515625" bestFit="1" customWidth="1"/>
    <col min="58" max="58" width="8" bestFit="1" customWidth="1"/>
    <col min="59" max="59" width="11.42578125" bestFit="1" customWidth="1"/>
    <col min="60" max="60" width="8" bestFit="1" customWidth="1"/>
    <col min="61" max="62" width="8.7109375" bestFit="1" customWidth="1"/>
    <col min="63" max="63" width="6" bestFit="1" customWidth="1"/>
    <col min="65" max="65" width="13.28515625" bestFit="1" customWidth="1"/>
    <col min="66" max="66" width="7.42578125" bestFit="1" customWidth="1"/>
    <col min="67" max="67" width="8" bestFit="1" customWidth="1"/>
    <col min="68" max="68" width="11.42578125" bestFit="1" customWidth="1"/>
    <col min="69" max="69" width="8" bestFit="1" customWidth="1"/>
    <col min="70" max="71" width="8.7109375" bestFit="1" customWidth="1"/>
    <col min="72" max="72" width="6" bestFit="1" customWidth="1"/>
  </cols>
  <sheetData>
    <row r="3" spans="2:72" x14ac:dyDescent="0.25">
      <c r="K3" t="s">
        <v>66</v>
      </c>
    </row>
    <row r="4" spans="2:72" x14ac:dyDescent="0.25">
      <c r="B4" t="s">
        <v>18</v>
      </c>
      <c r="C4" t="s">
        <v>19</v>
      </c>
      <c r="K4" t="s">
        <v>29</v>
      </c>
      <c r="L4" t="s">
        <v>30</v>
      </c>
      <c r="T4" t="s">
        <v>31</v>
      </c>
      <c r="U4" t="s">
        <v>32</v>
      </c>
      <c r="AC4" t="s">
        <v>33</v>
      </c>
      <c r="AD4" t="s">
        <v>34</v>
      </c>
      <c r="AL4" t="s">
        <v>35</v>
      </c>
      <c r="AM4" t="s">
        <v>36</v>
      </c>
      <c r="AU4" t="s">
        <v>39</v>
      </c>
      <c r="AV4" t="s">
        <v>40</v>
      </c>
      <c r="BD4" t="s">
        <v>37</v>
      </c>
      <c r="BE4" t="s">
        <v>38</v>
      </c>
      <c r="BM4" t="s">
        <v>61</v>
      </c>
      <c r="BN4" t="s">
        <v>62</v>
      </c>
    </row>
    <row r="5" spans="2:72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K5" t="s">
        <v>20</v>
      </c>
      <c r="L5" t="s">
        <v>21</v>
      </c>
      <c r="M5" t="s">
        <v>22</v>
      </c>
      <c r="N5" t="s">
        <v>23</v>
      </c>
      <c r="O5" t="s">
        <v>24</v>
      </c>
      <c r="P5" t="s">
        <v>25</v>
      </c>
      <c r="Q5" t="s">
        <v>26</v>
      </c>
      <c r="R5" t="s">
        <v>27</v>
      </c>
      <c r="T5" t="s">
        <v>20</v>
      </c>
      <c r="U5" t="s">
        <v>21</v>
      </c>
      <c r="V5" t="s">
        <v>22</v>
      </c>
      <c r="W5" t="s">
        <v>23</v>
      </c>
      <c r="X5" t="s">
        <v>24</v>
      </c>
      <c r="Y5" t="s">
        <v>25</v>
      </c>
      <c r="Z5" t="s">
        <v>26</v>
      </c>
      <c r="AA5" t="s">
        <v>27</v>
      </c>
      <c r="AC5" t="s">
        <v>20</v>
      </c>
      <c r="AD5" t="s">
        <v>21</v>
      </c>
      <c r="AE5" t="s">
        <v>22</v>
      </c>
      <c r="AF5" t="s">
        <v>23</v>
      </c>
      <c r="AG5" t="s">
        <v>24</v>
      </c>
      <c r="AH5" t="s">
        <v>25</v>
      </c>
      <c r="AI5" t="s">
        <v>26</v>
      </c>
      <c r="AJ5" t="s">
        <v>27</v>
      </c>
      <c r="AL5" t="s">
        <v>20</v>
      </c>
      <c r="AM5" t="s">
        <v>21</v>
      </c>
      <c r="AN5" t="s">
        <v>22</v>
      </c>
      <c r="AO5" t="s">
        <v>23</v>
      </c>
      <c r="AP5" t="s">
        <v>24</v>
      </c>
      <c r="AQ5" t="s">
        <v>25</v>
      </c>
      <c r="AR5" t="s">
        <v>26</v>
      </c>
      <c r="AS5" t="s">
        <v>27</v>
      </c>
      <c r="AU5" t="s">
        <v>20</v>
      </c>
      <c r="AV5" t="s">
        <v>21</v>
      </c>
      <c r="AW5" t="s">
        <v>22</v>
      </c>
      <c r="AX5" t="s">
        <v>23</v>
      </c>
      <c r="AY5" t="s">
        <v>24</v>
      </c>
      <c r="AZ5" t="s">
        <v>25</v>
      </c>
      <c r="BA5" t="s">
        <v>26</v>
      </c>
      <c r="BB5" t="s">
        <v>27</v>
      </c>
      <c r="BD5" t="s">
        <v>20</v>
      </c>
      <c r="BE5" t="s">
        <v>21</v>
      </c>
      <c r="BF5" t="s">
        <v>22</v>
      </c>
      <c r="BG5" t="s">
        <v>23</v>
      </c>
      <c r="BH5" t="s">
        <v>24</v>
      </c>
      <c r="BI5" t="s">
        <v>25</v>
      </c>
      <c r="BJ5" t="s">
        <v>26</v>
      </c>
      <c r="BK5" t="s">
        <v>27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  <c r="BT5" t="s">
        <v>27</v>
      </c>
    </row>
    <row r="6" spans="2:72" x14ac:dyDescent="0.25">
      <c r="B6">
        <v>0</v>
      </c>
      <c r="C6">
        <v>0</v>
      </c>
      <c r="D6">
        <v>0</v>
      </c>
      <c r="E6" t="s">
        <v>28</v>
      </c>
      <c r="F6">
        <v>-9.9039999999999999</v>
      </c>
      <c r="G6">
        <v>-238.92099999999999</v>
      </c>
      <c r="H6">
        <v>-238.92099999999999</v>
      </c>
      <c r="I6" t="s">
        <v>28</v>
      </c>
      <c r="K6">
        <v>0</v>
      </c>
      <c r="L6">
        <v>0</v>
      </c>
      <c r="M6">
        <v>0</v>
      </c>
      <c r="N6" t="s">
        <v>28</v>
      </c>
      <c r="O6">
        <v>-9.1920000000000002</v>
      </c>
      <c r="P6">
        <v>89.775000000000006</v>
      </c>
      <c r="Q6">
        <v>89.775000000000006</v>
      </c>
      <c r="R6" t="s">
        <v>28</v>
      </c>
      <c r="T6">
        <v>0</v>
      </c>
      <c r="U6">
        <v>0</v>
      </c>
      <c r="V6">
        <v>0</v>
      </c>
      <c r="W6" t="s">
        <v>28</v>
      </c>
      <c r="X6">
        <v>-6.1970000000000001</v>
      </c>
      <c r="Y6">
        <v>216.035</v>
      </c>
      <c r="Z6">
        <v>216.035</v>
      </c>
      <c r="AA6" t="s">
        <v>28</v>
      </c>
      <c r="AC6">
        <v>0</v>
      </c>
      <c r="AD6">
        <v>0</v>
      </c>
      <c r="AE6">
        <v>0</v>
      </c>
      <c r="AF6" t="s">
        <v>28</v>
      </c>
      <c r="AG6">
        <v>-6.7249999999999996</v>
      </c>
      <c r="AH6">
        <v>246.79</v>
      </c>
      <c r="AI6">
        <v>246.79</v>
      </c>
      <c r="AJ6" t="s">
        <v>28</v>
      </c>
      <c r="AL6">
        <v>0</v>
      </c>
      <c r="AM6">
        <v>0</v>
      </c>
      <c r="AN6">
        <v>0</v>
      </c>
      <c r="AO6" t="s">
        <v>28</v>
      </c>
      <c r="AP6">
        <v>-9.1720000000000006</v>
      </c>
      <c r="AQ6">
        <v>38.39</v>
      </c>
      <c r="AR6">
        <v>38.39</v>
      </c>
      <c r="AS6" t="s">
        <v>28</v>
      </c>
      <c r="AU6">
        <v>0</v>
      </c>
      <c r="AV6">
        <v>0</v>
      </c>
      <c r="AW6">
        <v>0</v>
      </c>
      <c r="AX6" t="s">
        <v>28</v>
      </c>
      <c r="AY6">
        <v>-8.6829999999999998</v>
      </c>
      <c r="AZ6">
        <v>0</v>
      </c>
      <c r="BA6">
        <v>0</v>
      </c>
      <c r="BB6">
        <v>0</v>
      </c>
      <c r="BD6">
        <v>0</v>
      </c>
      <c r="BE6">
        <v>0</v>
      </c>
      <c r="BF6">
        <v>0</v>
      </c>
      <c r="BG6" t="s">
        <v>28</v>
      </c>
      <c r="BH6">
        <v>-8.4670000000000005</v>
      </c>
      <c r="BI6">
        <v>0</v>
      </c>
      <c r="BJ6">
        <v>0</v>
      </c>
      <c r="BK6">
        <v>0</v>
      </c>
      <c r="BM6">
        <v>0</v>
      </c>
      <c r="BN6">
        <v>0</v>
      </c>
      <c r="BO6">
        <v>0</v>
      </c>
      <c r="BP6" t="s">
        <v>28</v>
      </c>
      <c r="BQ6">
        <v>-8.67</v>
      </c>
      <c r="BR6">
        <v>0</v>
      </c>
      <c r="BS6">
        <v>0</v>
      </c>
      <c r="BT6">
        <v>0</v>
      </c>
    </row>
    <row r="7" spans="2:72" x14ac:dyDescent="0.25">
      <c r="B7">
        <v>100</v>
      </c>
      <c r="C7">
        <v>33.298999999999999</v>
      </c>
      <c r="D7">
        <v>152.38800000000001</v>
      </c>
      <c r="E7">
        <v>218.53399999999999</v>
      </c>
      <c r="F7">
        <v>-6.6150000000000002</v>
      </c>
      <c r="G7">
        <v>-240.083</v>
      </c>
      <c r="H7">
        <v>-236.584</v>
      </c>
      <c r="I7">
        <v>123.57899999999999</v>
      </c>
      <c r="K7">
        <v>100</v>
      </c>
      <c r="L7">
        <v>32.302</v>
      </c>
      <c r="M7">
        <v>177.03100000000001</v>
      </c>
      <c r="N7">
        <v>237.75700000000001</v>
      </c>
      <c r="O7">
        <v>-6.0730000000000004</v>
      </c>
      <c r="P7">
        <v>89.991</v>
      </c>
      <c r="Q7">
        <v>88.944000000000003</v>
      </c>
      <c r="R7">
        <v>-46.46</v>
      </c>
      <c r="T7">
        <v>100</v>
      </c>
      <c r="U7">
        <v>20.786000000000001</v>
      </c>
      <c r="V7">
        <v>92.009</v>
      </c>
      <c r="W7">
        <v>133.197</v>
      </c>
      <c r="X7">
        <v>-4.1189999999999998</v>
      </c>
      <c r="Y7">
        <v>216.614</v>
      </c>
      <c r="Z7">
        <v>212.45</v>
      </c>
      <c r="AA7">
        <v>-110.97199999999999</v>
      </c>
      <c r="AC7">
        <v>100</v>
      </c>
      <c r="AD7">
        <v>23.702999999999999</v>
      </c>
      <c r="AE7">
        <v>135.947</v>
      </c>
      <c r="AF7">
        <v>181.131</v>
      </c>
      <c r="AG7">
        <v>-4.5179999999999998</v>
      </c>
      <c r="AH7">
        <v>247.54400000000001</v>
      </c>
      <c r="AI7">
        <v>242.61500000000001</v>
      </c>
      <c r="AJ7">
        <v>-126.729</v>
      </c>
      <c r="AL7">
        <v>100</v>
      </c>
      <c r="AM7">
        <v>32.627000000000002</v>
      </c>
      <c r="AN7">
        <v>149.59</v>
      </c>
      <c r="AO7">
        <v>210.98</v>
      </c>
      <c r="AP7">
        <v>-6.1390000000000002</v>
      </c>
      <c r="AQ7">
        <v>38.470999999999997</v>
      </c>
      <c r="AR7">
        <v>37.213999999999999</v>
      </c>
      <c r="AS7">
        <v>-19.437999999999999</v>
      </c>
      <c r="AU7">
        <v>100</v>
      </c>
      <c r="AV7">
        <v>29.106000000000002</v>
      </c>
      <c r="AW7">
        <v>173.30699999999999</v>
      </c>
      <c r="AX7">
        <v>231.09399999999999</v>
      </c>
      <c r="AY7">
        <v>-5.7789999999999999</v>
      </c>
      <c r="AZ7">
        <v>0</v>
      </c>
      <c r="BA7">
        <v>0</v>
      </c>
      <c r="BB7">
        <v>0</v>
      </c>
      <c r="BD7">
        <v>100</v>
      </c>
      <c r="BE7">
        <v>28.154</v>
      </c>
      <c r="BF7">
        <v>100.727</v>
      </c>
      <c r="BG7">
        <v>155.40799999999999</v>
      </c>
      <c r="BH7">
        <v>-5.468</v>
      </c>
      <c r="BI7">
        <v>0</v>
      </c>
      <c r="BJ7">
        <v>0</v>
      </c>
      <c r="BK7">
        <v>0</v>
      </c>
      <c r="BM7">
        <v>100</v>
      </c>
      <c r="BN7">
        <v>29.103999999999999</v>
      </c>
      <c r="BO7">
        <v>159.81100000000001</v>
      </c>
      <c r="BP7">
        <v>217.49</v>
      </c>
      <c r="BQ7">
        <v>-5.7679999999999998</v>
      </c>
      <c r="BR7">
        <v>0</v>
      </c>
      <c r="BS7">
        <v>0</v>
      </c>
      <c r="BT7">
        <v>0</v>
      </c>
    </row>
    <row r="8" spans="2:72" x14ac:dyDescent="0.25">
      <c r="B8">
        <v>200</v>
      </c>
      <c r="C8">
        <v>33.348999999999997</v>
      </c>
      <c r="D8">
        <v>175.48500000000001</v>
      </c>
      <c r="E8">
        <v>191.89599999999999</v>
      </c>
      <c r="F8">
        <v>-3.282</v>
      </c>
      <c r="G8">
        <v>-240.9</v>
      </c>
      <c r="H8">
        <v>-232.76599999999999</v>
      </c>
      <c r="I8">
        <v>60.792000000000002</v>
      </c>
      <c r="K8">
        <v>200</v>
      </c>
      <c r="L8">
        <v>30.42</v>
      </c>
      <c r="M8">
        <v>198.74700000000001</v>
      </c>
      <c r="N8">
        <v>213.501</v>
      </c>
      <c r="O8">
        <v>-2.9510000000000001</v>
      </c>
      <c r="P8">
        <v>90.201999999999998</v>
      </c>
      <c r="Q8">
        <v>87.8</v>
      </c>
      <c r="R8">
        <v>-22.931000000000001</v>
      </c>
      <c r="T8">
        <v>200</v>
      </c>
      <c r="U8">
        <v>20.786000000000001</v>
      </c>
      <c r="V8">
        <v>106.417</v>
      </c>
      <c r="W8">
        <v>116.61799999999999</v>
      </c>
      <c r="X8">
        <v>-2.04</v>
      </c>
      <c r="Y8">
        <v>217.346</v>
      </c>
      <c r="Z8">
        <v>208.00399999999999</v>
      </c>
      <c r="AA8">
        <v>-54.325000000000003</v>
      </c>
      <c r="AC8">
        <v>200</v>
      </c>
      <c r="AD8">
        <v>22.734000000000002</v>
      </c>
      <c r="AE8">
        <v>152.15299999999999</v>
      </c>
      <c r="AF8">
        <v>163.08500000000001</v>
      </c>
      <c r="AG8">
        <v>-2.1859999999999999</v>
      </c>
      <c r="AH8">
        <v>248.42099999999999</v>
      </c>
      <c r="AI8">
        <v>237.339</v>
      </c>
      <c r="AJ8">
        <v>-61.985999999999997</v>
      </c>
      <c r="AL8">
        <v>200</v>
      </c>
      <c r="AM8">
        <v>30.777000000000001</v>
      </c>
      <c r="AN8">
        <v>171.59200000000001</v>
      </c>
      <c r="AO8">
        <v>186.471</v>
      </c>
      <c r="AP8">
        <v>-2.976</v>
      </c>
      <c r="AQ8">
        <v>38.832000000000001</v>
      </c>
      <c r="AR8">
        <v>35.802999999999997</v>
      </c>
      <c r="AS8">
        <v>-9.3510000000000009</v>
      </c>
      <c r="AU8">
        <v>200</v>
      </c>
      <c r="AV8">
        <v>29.126000000000001</v>
      </c>
      <c r="AW8">
        <v>193.48500000000001</v>
      </c>
      <c r="AX8">
        <v>207.82300000000001</v>
      </c>
      <c r="AY8">
        <v>-2.8679999999999999</v>
      </c>
      <c r="AZ8">
        <v>0</v>
      </c>
      <c r="BA8">
        <v>0</v>
      </c>
      <c r="BB8">
        <v>0</v>
      </c>
      <c r="BD8">
        <v>200</v>
      </c>
      <c r="BE8">
        <v>27.446999999999999</v>
      </c>
      <c r="BF8">
        <v>119.41200000000001</v>
      </c>
      <c r="BG8">
        <v>133.28399999999999</v>
      </c>
      <c r="BH8">
        <v>-2.774</v>
      </c>
      <c r="BI8">
        <v>0</v>
      </c>
      <c r="BJ8">
        <v>0</v>
      </c>
      <c r="BK8">
        <v>0</v>
      </c>
      <c r="BM8">
        <v>200</v>
      </c>
      <c r="BN8">
        <v>29.106999999999999</v>
      </c>
      <c r="BO8">
        <v>179.98500000000001</v>
      </c>
      <c r="BP8">
        <v>194.27199999999999</v>
      </c>
      <c r="BQ8">
        <v>-2.8570000000000002</v>
      </c>
      <c r="BR8">
        <v>0</v>
      </c>
      <c r="BS8">
        <v>0</v>
      </c>
      <c r="BT8">
        <v>0</v>
      </c>
    </row>
    <row r="9" spans="2:72" x14ac:dyDescent="0.25">
      <c r="B9">
        <v>298.14999999999998</v>
      </c>
      <c r="C9">
        <v>33.590000000000003</v>
      </c>
      <c r="D9">
        <v>188.834</v>
      </c>
      <c r="E9">
        <v>188.834</v>
      </c>
      <c r="F9">
        <v>0</v>
      </c>
      <c r="G9">
        <v>-241.82599999999999</v>
      </c>
      <c r="H9">
        <v>-228.58199999999999</v>
      </c>
      <c r="I9">
        <v>40.046999999999997</v>
      </c>
      <c r="K9">
        <v>250</v>
      </c>
      <c r="L9">
        <v>30.024999999999999</v>
      </c>
      <c r="M9">
        <v>205.488</v>
      </c>
      <c r="N9">
        <v>211.251</v>
      </c>
      <c r="O9">
        <v>-1.4410000000000001</v>
      </c>
      <c r="P9">
        <v>90.256</v>
      </c>
      <c r="Q9">
        <v>87.192999999999998</v>
      </c>
      <c r="R9">
        <v>-18.218</v>
      </c>
      <c r="T9">
        <v>250</v>
      </c>
      <c r="U9">
        <v>20.786000000000001</v>
      </c>
      <c r="V9">
        <v>111.05500000000001</v>
      </c>
      <c r="W9">
        <v>115.059</v>
      </c>
      <c r="X9">
        <v>-1.0009999999999999</v>
      </c>
      <c r="Y9">
        <v>217.68700000000001</v>
      </c>
      <c r="Z9">
        <v>205.62899999999999</v>
      </c>
      <c r="AA9">
        <v>-42.963999999999999</v>
      </c>
      <c r="AC9">
        <v>250</v>
      </c>
      <c r="AD9">
        <v>22.245999999999999</v>
      </c>
      <c r="AE9">
        <v>157.16999999999999</v>
      </c>
      <c r="AF9">
        <v>161.42099999999999</v>
      </c>
      <c r="AG9">
        <v>-1.0629999999999999</v>
      </c>
      <c r="AH9">
        <v>248.816</v>
      </c>
      <c r="AI9">
        <v>234.52199999999999</v>
      </c>
      <c r="AJ9">
        <v>-49.000999999999998</v>
      </c>
      <c r="AL9">
        <v>250</v>
      </c>
      <c r="AM9">
        <v>30.283000000000001</v>
      </c>
      <c r="AN9">
        <v>178.40199999999999</v>
      </c>
      <c r="AO9">
        <v>184.20400000000001</v>
      </c>
      <c r="AP9">
        <v>-1.45</v>
      </c>
      <c r="AQ9">
        <v>38.93</v>
      </c>
      <c r="AR9">
        <v>35.033000000000001</v>
      </c>
      <c r="AS9">
        <v>-7.32</v>
      </c>
      <c r="AU9">
        <v>250</v>
      </c>
      <c r="AV9">
        <v>29.201000000000001</v>
      </c>
      <c r="AW9">
        <v>199.99</v>
      </c>
      <c r="AX9">
        <v>205.63</v>
      </c>
      <c r="AY9">
        <v>-1.41</v>
      </c>
      <c r="AZ9">
        <v>0</v>
      </c>
      <c r="BA9">
        <v>0</v>
      </c>
      <c r="BB9">
        <v>0</v>
      </c>
      <c r="BD9">
        <v>250</v>
      </c>
      <c r="BE9">
        <v>28.344000000000001</v>
      </c>
      <c r="BF9">
        <v>125.64</v>
      </c>
      <c r="BG9">
        <v>131.15199999999999</v>
      </c>
      <c r="BH9">
        <v>-1.3779999999999999</v>
      </c>
      <c r="BI9">
        <v>0</v>
      </c>
      <c r="BJ9">
        <v>0</v>
      </c>
      <c r="BK9">
        <v>0</v>
      </c>
      <c r="BM9">
        <v>250</v>
      </c>
      <c r="BN9">
        <v>29.111000000000001</v>
      </c>
      <c r="BO9">
        <v>186.48099999999999</v>
      </c>
      <c r="BP9">
        <v>192.08799999999999</v>
      </c>
      <c r="BQ9">
        <v>-1.4019999999999999</v>
      </c>
      <c r="BR9">
        <v>0</v>
      </c>
      <c r="BS9">
        <v>0</v>
      </c>
      <c r="BT9">
        <v>0</v>
      </c>
    </row>
    <row r="10" spans="2:72" x14ac:dyDescent="0.25">
      <c r="B10">
        <v>300</v>
      </c>
      <c r="C10">
        <v>33.595999999999997</v>
      </c>
      <c r="D10">
        <v>189.042</v>
      </c>
      <c r="E10">
        <v>188.83500000000001</v>
      </c>
      <c r="F10">
        <v>6.2E-2</v>
      </c>
      <c r="G10">
        <v>-241.84399999999999</v>
      </c>
      <c r="H10">
        <v>-228.5</v>
      </c>
      <c r="I10">
        <v>39.784999999999997</v>
      </c>
      <c r="K10">
        <v>298.14999999999998</v>
      </c>
      <c r="L10">
        <v>29.844999999999999</v>
      </c>
      <c r="M10">
        <v>210.75800000000001</v>
      </c>
      <c r="N10">
        <v>210.75800000000001</v>
      </c>
      <c r="O10">
        <v>0</v>
      </c>
      <c r="P10">
        <v>90.290999999999997</v>
      </c>
      <c r="Q10">
        <v>86.6</v>
      </c>
      <c r="R10">
        <v>-15.172000000000001</v>
      </c>
      <c r="T10">
        <v>298.14999999999998</v>
      </c>
      <c r="U10">
        <v>20.786000000000001</v>
      </c>
      <c r="V10">
        <v>114.71599999999999</v>
      </c>
      <c r="W10">
        <v>114.71599999999999</v>
      </c>
      <c r="X10">
        <v>0</v>
      </c>
      <c r="Y10">
        <v>217.999</v>
      </c>
      <c r="Z10">
        <v>203.27799999999999</v>
      </c>
      <c r="AA10">
        <v>-35.613</v>
      </c>
      <c r="AC10">
        <v>298.14999999999998</v>
      </c>
      <c r="AD10">
        <v>21.911000000000001</v>
      </c>
      <c r="AE10">
        <v>161.05799999999999</v>
      </c>
      <c r="AF10">
        <v>161.05799999999999</v>
      </c>
      <c r="AG10">
        <v>0</v>
      </c>
      <c r="AH10">
        <v>249.173</v>
      </c>
      <c r="AI10">
        <v>231.73599999999999</v>
      </c>
      <c r="AJ10">
        <v>-40.598999999999997</v>
      </c>
      <c r="AL10">
        <v>298.14999999999998</v>
      </c>
      <c r="AM10">
        <v>29.986000000000001</v>
      </c>
      <c r="AN10">
        <v>183.708</v>
      </c>
      <c r="AO10">
        <v>183.708</v>
      </c>
      <c r="AP10">
        <v>0</v>
      </c>
      <c r="AQ10">
        <v>38.987000000000002</v>
      </c>
      <c r="AR10">
        <v>34.277000000000001</v>
      </c>
      <c r="AS10">
        <v>-6.0049999999999999</v>
      </c>
      <c r="AU10">
        <v>298.14999999999998</v>
      </c>
      <c r="AV10">
        <v>29.376000000000001</v>
      </c>
      <c r="AW10">
        <v>205.14699999999999</v>
      </c>
      <c r="AX10">
        <v>205.14699999999999</v>
      </c>
      <c r="AY10">
        <v>0</v>
      </c>
      <c r="AZ10">
        <v>0</v>
      </c>
      <c r="BA10">
        <v>0</v>
      </c>
      <c r="BB10">
        <v>0</v>
      </c>
      <c r="BD10">
        <v>298.14999999999998</v>
      </c>
      <c r="BE10">
        <v>28.835999999999999</v>
      </c>
      <c r="BF10">
        <v>130.68</v>
      </c>
      <c r="BG10">
        <v>130.68</v>
      </c>
      <c r="BH10">
        <v>0</v>
      </c>
      <c r="BI10">
        <v>0</v>
      </c>
      <c r="BJ10">
        <v>0</v>
      </c>
      <c r="BK10">
        <v>0</v>
      </c>
      <c r="BM10">
        <v>298.14999999999998</v>
      </c>
      <c r="BN10">
        <v>29.123999999999999</v>
      </c>
      <c r="BO10">
        <v>191.60900000000001</v>
      </c>
      <c r="BP10">
        <v>191.60900000000001</v>
      </c>
      <c r="BQ10">
        <v>0</v>
      </c>
      <c r="BR10">
        <v>0</v>
      </c>
      <c r="BS10">
        <v>0</v>
      </c>
      <c r="BT10">
        <v>0</v>
      </c>
    </row>
    <row r="11" spans="2:72" x14ac:dyDescent="0.25">
      <c r="B11">
        <v>400</v>
      </c>
      <c r="C11">
        <v>34.262</v>
      </c>
      <c r="D11">
        <v>198.78800000000001</v>
      </c>
      <c r="E11">
        <v>190.15899999999999</v>
      </c>
      <c r="F11">
        <v>3.452</v>
      </c>
      <c r="G11">
        <v>-242.846</v>
      </c>
      <c r="H11">
        <v>-223.90100000000001</v>
      </c>
      <c r="I11">
        <v>29.238</v>
      </c>
      <c r="K11">
        <v>300</v>
      </c>
      <c r="L11">
        <v>29.841000000000001</v>
      </c>
      <c r="M11">
        <v>210.94300000000001</v>
      </c>
      <c r="N11">
        <v>210.75899999999999</v>
      </c>
      <c r="O11">
        <v>5.5E-2</v>
      </c>
      <c r="P11">
        <v>90.292000000000002</v>
      </c>
      <c r="Q11">
        <v>86.576999999999998</v>
      </c>
      <c r="R11">
        <v>-15.074</v>
      </c>
      <c r="T11">
        <v>300</v>
      </c>
      <c r="U11">
        <v>20.786000000000001</v>
      </c>
      <c r="V11">
        <v>114.845</v>
      </c>
      <c r="W11">
        <v>114.717</v>
      </c>
      <c r="X11">
        <v>3.7999999999999999E-2</v>
      </c>
      <c r="Y11">
        <v>218.011</v>
      </c>
      <c r="Z11">
        <v>203.18600000000001</v>
      </c>
      <c r="AA11">
        <v>-35.378</v>
      </c>
      <c r="AC11">
        <v>300</v>
      </c>
      <c r="AD11">
        <v>21.901</v>
      </c>
      <c r="AE11">
        <v>161.19399999999999</v>
      </c>
      <c r="AF11">
        <v>161.059</v>
      </c>
      <c r="AG11">
        <v>4.1000000000000002E-2</v>
      </c>
      <c r="AH11">
        <v>249.18700000000001</v>
      </c>
      <c r="AI11">
        <v>231.62799999999999</v>
      </c>
      <c r="AJ11">
        <v>-40.33</v>
      </c>
      <c r="AL11">
        <v>300</v>
      </c>
      <c r="AM11">
        <v>29.977</v>
      </c>
      <c r="AN11">
        <v>183.89400000000001</v>
      </c>
      <c r="AO11">
        <v>183.709</v>
      </c>
      <c r="AP11">
        <v>5.5E-2</v>
      </c>
      <c r="AQ11">
        <v>38.988</v>
      </c>
      <c r="AR11">
        <v>34.247999999999998</v>
      </c>
      <c r="AS11">
        <v>-5.9630000000000001</v>
      </c>
      <c r="AU11">
        <v>300</v>
      </c>
      <c r="AV11">
        <v>29.385000000000002</v>
      </c>
      <c r="AW11">
        <v>205.32900000000001</v>
      </c>
      <c r="AX11">
        <v>205.148</v>
      </c>
      <c r="AY11">
        <v>5.3999999999999999E-2</v>
      </c>
      <c r="AZ11">
        <v>0</v>
      </c>
      <c r="BA11">
        <v>0</v>
      </c>
      <c r="BB11">
        <v>0</v>
      </c>
      <c r="BD11">
        <v>300</v>
      </c>
      <c r="BE11">
        <v>28.849</v>
      </c>
      <c r="BF11">
        <v>130.858</v>
      </c>
      <c r="BG11">
        <v>130.68</v>
      </c>
      <c r="BH11">
        <v>5.2999999999999999E-2</v>
      </c>
      <c r="BI11">
        <v>0</v>
      </c>
      <c r="BJ11">
        <v>0</v>
      </c>
      <c r="BK11">
        <v>0</v>
      </c>
      <c r="BM11">
        <v>300</v>
      </c>
      <c r="BN11">
        <v>29.125</v>
      </c>
      <c r="BO11">
        <v>191.78899999999999</v>
      </c>
      <c r="BP11">
        <v>191.61</v>
      </c>
      <c r="BQ11">
        <v>5.3999999999999999E-2</v>
      </c>
      <c r="BR11">
        <v>0</v>
      </c>
      <c r="BS11">
        <v>0</v>
      </c>
      <c r="BT11">
        <v>0</v>
      </c>
    </row>
    <row r="12" spans="2:72" x14ac:dyDescent="0.25">
      <c r="B12">
        <v>500</v>
      </c>
      <c r="C12">
        <v>35.225999999999999</v>
      </c>
      <c r="D12">
        <v>206.53399999999999</v>
      </c>
      <c r="E12">
        <v>192.685</v>
      </c>
      <c r="F12">
        <v>6.9249999999999998</v>
      </c>
      <c r="G12">
        <v>-243.82599999999999</v>
      </c>
      <c r="H12">
        <v>-219.05099999999999</v>
      </c>
      <c r="I12">
        <v>22.884</v>
      </c>
      <c r="K12">
        <v>350</v>
      </c>
      <c r="L12">
        <v>29.823</v>
      </c>
      <c r="M12">
        <v>215.54</v>
      </c>
      <c r="N12">
        <v>211.12200000000001</v>
      </c>
      <c r="O12">
        <v>1.546</v>
      </c>
      <c r="P12">
        <v>90.316000000000003</v>
      </c>
      <c r="Q12">
        <v>85.954999999999998</v>
      </c>
      <c r="R12">
        <v>-12.827999999999999</v>
      </c>
      <c r="T12">
        <v>350</v>
      </c>
      <c r="U12">
        <v>20.786000000000001</v>
      </c>
      <c r="V12">
        <v>118.04900000000001</v>
      </c>
      <c r="W12">
        <v>114.97</v>
      </c>
      <c r="X12">
        <v>1.0780000000000001</v>
      </c>
      <c r="Y12">
        <v>218.32599999999999</v>
      </c>
      <c r="Z12">
        <v>200.69</v>
      </c>
      <c r="AA12">
        <v>-29.951000000000001</v>
      </c>
      <c r="AC12">
        <v>350</v>
      </c>
      <c r="AD12">
        <v>21.657</v>
      </c>
      <c r="AE12">
        <v>164.55099999999999</v>
      </c>
      <c r="AF12">
        <v>161.32400000000001</v>
      </c>
      <c r="AG12">
        <v>1.129</v>
      </c>
      <c r="AH12">
        <v>249.53700000000001</v>
      </c>
      <c r="AI12">
        <v>228.673</v>
      </c>
      <c r="AJ12">
        <v>-34.128</v>
      </c>
      <c r="AL12">
        <v>350</v>
      </c>
      <c r="AM12">
        <v>29.78</v>
      </c>
      <c r="AN12">
        <v>188.499</v>
      </c>
      <c r="AO12">
        <v>184.07300000000001</v>
      </c>
      <c r="AP12">
        <v>1.5489999999999999</v>
      </c>
      <c r="AQ12">
        <v>39.018999999999998</v>
      </c>
      <c r="AR12">
        <v>33.454999999999998</v>
      </c>
      <c r="AS12">
        <v>-4.9930000000000003</v>
      </c>
      <c r="AU12">
        <v>350</v>
      </c>
      <c r="AV12">
        <v>29.693999999999999</v>
      </c>
      <c r="AW12">
        <v>209.88</v>
      </c>
      <c r="AX12">
        <v>205.506</v>
      </c>
      <c r="AY12">
        <v>1.5309999999999999</v>
      </c>
      <c r="AZ12">
        <v>0</v>
      </c>
      <c r="BA12">
        <v>0</v>
      </c>
      <c r="BB12">
        <v>0</v>
      </c>
      <c r="BD12">
        <v>350</v>
      </c>
      <c r="BE12">
        <v>29.081</v>
      </c>
      <c r="BF12">
        <v>135.32499999999999</v>
      </c>
      <c r="BG12">
        <v>131.03200000000001</v>
      </c>
      <c r="BH12">
        <v>1.502</v>
      </c>
      <c r="BI12">
        <v>0</v>
      </c>
      <c r="BJ12">
        <v>0</v>
      </c>
      <c r="BK12">
        <v>0</v>
      </c>
      <c r="BM12">
        <v>350</v>
      </c>
      <c r="BN12">
        <v>29.164999999999999</v>
      </c>
      <c r="BO12">
        <v>196.28100000000001</v>
      </c>
      <c r="BP12">
        <v>191.964</v>
      </c>
      <c r="BQ12">
        <v>1.5109999999999999</v>
      </c>
      <c r="BR12">
        <v>0</v>
      </c>
      <c r="BS12">
        <v>0</v>
      </c>
      <c r="BT12">
        <v>0</v>
      </c>
    </row>
    <row r="13" spans="2:72" x14ac:dyDescent="0.25">
      <c r="B13">
        <v>600</v>
      </c>
      <c r="C13">
        <v>36.325000000000003</v>
      </c>
      <c r="D13">
        <v>213.05199999999999</v>
      </c>
      <c r="E13">
        <v>195.55</v>
      </c>
      <c r="F13">
        <v>10.500999999999999</v>
      </c>
      <c r="G13">
        <v>-244.75800000000001</v>
      </c>
      <c r="H13">
        <v>-214.00700000000001</v>
      </c>
      <c r="I13">
        <v>18.631</v>
      </c>
      <c r="K13">
        <v>400</v>
      </c>
      <c r="L13">
        <v>29.943999999999999</v>
      </c>
      <c r="M13">
        <v>219.529</v>
      </c>
      <c r="N13">
        <v>211.929</v>
      </c>
      <c r="O13">
        <v>3.04</v>
      </c>
      <c r="P13">
        <v>90.331999999999994</v>
      </c>
      <c r="Q13">
        <v>85.331000000000003</v>
      </c>
      <c r="R13">
        <v>-11.143000000000001</v>
      </c>
      <c r="T13">
        <v>400</v>
      </c>
      <c r="U13">
        <v>20.786000000000001</v>
      </c>
      <c r="V13">
        <v>120.825</v>
      </c>
      <c r="W13">
        <v>115.532</v>
      </c>
      <c r="X13">
        <v>2.117</v>
      </c>
      <c r="Y13">
        <v>218.637</v>
      </c>
      <c r="Z13">
        <v>198.15</v>
      </c>
      <c r="AA13">
        <v>-25.876000000000001</v>
      </c>
      <c r="AC13">
        <v>400</v>
      </c>
      <c r="AD13">
        <v>21.481999999999999</v>
      </c>
      <c r="AE13">
        <v>167.43</v>
      </c>
      <c r="AF13">
        <v>161.91200000000001</v>
      </c>
      <c r="AG13">
        <v>2.2069999999999999</v>
      </c>
      <c r="AH13">
        <v>249.86799999999999</v>
      </c>
      <c r="AI13">
        <v>225.67</v>
      </c>
      <c r="AJ13">
        <v>-29.469000000000001</v>
      </c>
      <c r="AL13">
        <v>400</v>
      </c>
      <c r="AM13">
        <v>29.65</v>
      </c>
      <c r="AN13">
        <v>192.46600000000001</v>
      </c>
      <c r="AO13">
        <v>184.88</v>
      </c>
      <c r="AP13">
        <v>3.0350000000000001</v>
      </c>
      <c r="AQ13">
        <v>39.029000000000003</v>
      </c>
      <c r="AR13">
        <v>32.659999999999997</v>
      </c>
      <c r="AS13">
        <v>-4.2649999999999997</v>
      </c>
      <c r="AU13">
        <v>400</v>
      </c>
      <c r="AV13">
        <v>30.106000000000002</v>
      </c>
      <c r="AW13">
        <v>213.87100000000001</v>
      </c>
      <c r="AX13">
        <v>206.30799999999999</v>
      </c>
      <c r="AY13">
        <v>3.0249999999999999</v>
      </c>
      <c r="AZ13">
        <v>0</v>
      </c>
      <c r="BA13">
        <v>0</v>
      </c>
      <c r="BB13">
        <v>0</v>
      </c>
      <c r="BD13">
        <v>400</v>
      </c>
      <c r="BE13">
        <v>29.181000000000001</v>
      </c>
      <c r="BF13">
        <v>139.21600000000001</v>
      </c>
      <c r="BG13">
        <v>131.81700000000001</v>
      </c>
      <c r="BH13">
        <v>2.9590000000000001</v>
      </c>
      <c r="BI13">
        <v>0</v>
      </c>
      <c r="BJ13">
        <v>0</v>
      </c>
      <c r="BK13">
        <v>0</v>
      </c>
      <c r="BM13">
        <v>400</v>
      </c>
      <c r="BN13">
        <v>29.248999999999999</v>
      </c>
      <c r="BO13">
        <v>200.18100000000001</v>
      </c>
      <c r="BP13">
        <v>192.75299999999999</v>
      </c>
      <c r="BQ13">
        <v>2.9710000000000001</v>
      </c>
      <c r="BR13">
        <v>0</v>
      </c>
      <c r="BS13">
        <v>0</v>
      </c>
      <c r="BT13">
        <v>0</v>
      </c>
    </row>
    <row r="14" spans="2:72" x14ac:dyDescent="0.25">
      <c r="B14">
        <v>700</v>
      </c>
      <c r="C14">
        <v>37.494999999999997</v>
      </c>
      <c r="D14">
        <v>218.739</v>
      </c>
      <c r="E14">
        <v>198.465</v>
      </c>
      <c r="F14">
        <v>14.192</v>
      </c>
      <c r="G14">
        <v>-245.63200000000001</v>
      </c>
      <c r="H14">
        <v>-208.81200000000001</v>
      </c>
      <c r="I14">
        <v>15.582000000000001</v>
      </c>
      <c r="K14">
        <v>450</v>
      </c>
      <c r="L14">
        <v>30.175000000000001</v>
      </c>
      <c r="M14">
        <v>223.06800000000001</v>
      </c>
      <c r="N14">
        <v>212.97399999999999</v>
      </c>
      <c r="O14">
        <v>4.5419999999999998</v>
      </c>
      <c r="P14">
        <v>90.343000000000004</v>
      </c>
      <c r="Q14">
        <v>84.704999999999998</v>
      </c>
      <c r="R14">
        <v>-9.8320000000000007</v>
      </c>
      <c r="T14">
        <v>450</v>
      </c>
      <c r="U14">
        <v>20.786000000000001</v>
      </c>
      <c r="V14">
        <v>123.273</v>
      </c>
      <c r="W14">
        <v>116.259</v>
      </c>
      <c r="X14">
        <v>3.1560000000000001</v>
      </c>
      <c r="Y14">
        <v>218.946</v>
      </c>
      <c r="Z14">
        <v>195.57</v>
      </c>
      <c r="AA14">
        <v>-22.701000000000001</v>
      </c>
      <c r="AC14">
        <v>450</v>
      </c>
      <c r="AD14">
        <v>21.353999999999999</v>
      </c>
      <c r="AE14">
        <v>169.953</v>
      </c>
      <c r="AF14">
        <v>162.66800000000001</v>
      </c>
      <c r="AG14">
        <v>3.278</v>
      </c>
      <c r="AH14">
        <v>250.18</v>
      </c>
      <c r="AI14">
        <v>222.626</v>
      </c>
      <c r="AJ14">
        <v>-25.841999999999999</v>
      </c>
      <c r="AL14">
        <v>450</v>
      </c>
      <c r="AM14">
        <v>29.567</v>
      </c>
      <c r="AN14">
        <v>195.95400000000001</v>
      </c>
      <c r="AO14">
        <v>185.92099999999999</v>
      </c>
      <c r="AP14">
        <v>4.5149999999999997</v>
      </c>
      <c r="AQ14">
        <v>39.020000000000003</v>
      </c>
      <c r="AR14">
        <v>31.864000000000001</v>
      </c>
      <c r="AS14">
        <v>-3.6989999999999998</v>
      </c>
      <c r="AU14">
        <v>450</v>
      </c>
      <c r="AV14">
        <v>30.584</v>
      </c>
      <c r="AW14">
        <v>217.44499999999999</v>
      </c>
      <c r="AX14">
        <v>207.35</v>
      </c>
      <c r="AY14">
        <v>4.5430000000000001</v>
      </c>
      <c r="AZ14">
        <v>0</v>
      </c>
      <c r="BA14">
        <v>0</v>
      </c>
      <c r="BB14">
        <v>0</v>
      </c>
      <c r="BD14">
        <v>450</v>
      </c>
      <c r="BE14">
        <v>29.228999999999999</v>
      </c>
      <c r="BF14">
        <v>142.65600000000001</v>
      </c>
      <c r="BG14">
        <v>132.834</v>
      </c>
      <c r="BH14">
        <v>4.42</v>
      </c>
      <c r="BI14">
        <v>0</v>
      </c>
      <c r="BJ14">
        <v>0</v>
      </c>
      <c r="BK14">
        <v>0</v>
      </c>
      <c r="BM14">
        <v>450</v>
      </c>
      <c r="BN14">
        <v>29.387</v>
      </c>
      <c r="BO14">
        <v>203.63300000000001</v>
      </c>
      <c r="BP14">
        <v>193.774</v>
      </c>
      <c r="BQ14">
        <v>4.4370000000000003</v>
      </c>
      <c r="BR14">
        <v>0</v>
      </c>
      <c r="BS14">
        <v>0</v>
      </c>
      <c r="BT14">
        <v>0</v>
      </c>
    </row>
    <row r="15" spans="2:72" x14ac:dyDescent="0.25">
      <c r="B15">
        <v>800</v>
      </c>
      <c r="C15">
        <v>38.720999999999997</v>
      </c>
      <c r="D15">
        <v>223.82499999999999</v>
      </c>
      <c r="E15">
        <v>201.322</v>
      </c>
      <c r="F15">
        <v>18.001999999999999</v>
      </c>
      <c r="G15">
        <v>-246.44300000000001</v>
      </c>
      <c r="H15">
        <v>-203.49600000000001</v>
      </c>
      <c r="I15">
        <v>13.287000000000001</v>
      </c>
      <c r="K15">
        <v>500</v>
      </c>
      <c r="L15">
        <v>30.486000000000001</v>
      </c>
      <c r="M15">
        <v>226.26300000000001</v>
      </c>
      <c r="N15">
        <v>214.14500000000001</v>
      </c>
      <c r="O15">
        <v>6.0590000000000002</v>
      </c>
      <c r="P15">
        <v>90.352000000000004</v>
      </c>
      <c r="Q15">
        <v>84.078999999999994</v>
      </c>
      <c r="R15">
        <v>-8.7840000000000007</v>
      </c>
      <c r="T15">
        <v>500</v>
      </c>
      <c r="U15">
        <v>20.786000000000001</v>
      </c>
      <c r="V15">
        <v>125.46299999999999</v>
      </c>
      <c r="W15">
        <v>117.072</v>
      </c>
      <c r="X15">
        <v>4.1959999999999997</v>
      </c>
      <c r="Y15">
        <v>219.25399999999999</v>
      </c>
      <c r="Z15">
        <v>192.95699999999999</v>
      </c>
      <c r="AA15">
        <v>-20.158000000000001</v>
      </c>
      <c r="AC15">
        <v>500</v>
      </c>
      <c r="AD15">
        <v>21.257000000000001</v>
      </c>
      <c r="AE15">
        <v>172.197</v>
      </c>
      <c r="AF15">
        <v>163.511</v>
      </c>
      <c r="AG15">
        <v>4.343</v>
      </c>
      <c r="AH15">
        <v>250.47399999999999</v>
      </c>
      <c r="AI15">
        <v>219.54900000000001</v>
      </c>
      <c r="AJ15">
        <v>-22.936</v>
      </c>
      <c r="AL15">
        <v>500</v>
      </c>
      <c r="AM15">
        <v>29.521000000000001</v>
      </c>
      <c r="AN15">
        <v>199.066</v>
      </c>
      <c r="AO15">
        <v>187.08199999999999</v>
      </c>
      <c r="AP15">
        <v>5.992</v>
      </c>
      <c r="AQ15">
        <v>38.994999999999997</v>
      </c>
      <c r="AR15">
        <v>31.07</v>
      </c>
      <c r="AS15">
        <v>-3.246</v>
      </c>
      <c r="AU15">
        <v>500</v>
      </c>
      <c r="AV15">
        <v>31.091000000000001</v>
      </c>
      <c r="AW15">
        <v>220.69300000000001</v>
      </c>
      <c r="AX15">
        <v>208.524</v>
      </c>
      <c r="AY15">
        <v>6.0839999999999996</v>
      </c>
      <c r="AZ15">
        <v>0</v>
      </c>
      <c r="BA15">
        <v>0</v>
      </c>
      <c r="BB15">
        <v>0</v>
      </c>
      <c r="BD15">
        <v>500</v>
      </c>
      <c r="BE15">
        <v>29.26</v>
      </c>
      <c r="BF15">
        <v>145.73699999999999</v>
      </c>
      <c r="BG15">
        <v>133.97300000000001</v>
      </c>
      <c r="BH15">
        <v>5.8819999999999997</v>
      </c>
      <c r="BI15">
        <v>0</v>
      </c>
      <c r="BJ15">
        <v>0</v>
      </c>
      <c r="BK15">
        <v>0</v>
      </c>
      <c r="BM15">
        <v>500</v>
      </c>
      <c r="BN15">
        <v>29.58</v>
      </c>
      <c r="BO15">
        <v>206.739</v>
      </c>
      <c r="BP15">
        <v>194.917</v>
      </c>
      <c r="BQ15">
        <v>5.9109999999999996</v>
      </c>
      <c r="BR15">
        <v>0</v>
      </c>
      <c r="BS15">
        <v>0</v>
      </c>
      <c r="BT15">
        <v>0</v>
      </c>
    </row>
    <row r="16" spans="2:72" x14ac:dyDescent="0.25">
      <c r="B16">
        <v>900</v>
      </c>
      <c r="C16">
        <v>39.987000000000002</v>
      </c>
      <c r="D16">
        <v>228.459</v>
      </c>
      <c r="E16">
        <v>204.084</v>
      </c>
      <c r="F16">
        <v>21.937999999999999</v>
      </c>
      <c r="G16">
        <v>-247.185</v>
      </c>
      <c r="H16">
        <v>-198.083</v>
      </c>
      <c r="I16">
        <v>11.496</v>
      </c>
      <c r="K16">
        <v>600</v>
      </c>
      <c r="L16">
        <v>31.238</v>
      </c>
      <c r="M16">
        <v>231.886</v>
      </c>
      <c r="N16">
        <v>216.64599999999999</v>
      </c>
      <c r="O16">
        <v>9.1440000000000001</v>
      </c>
      <c r="P16">
        <v>90.366</v>
      </c>
      <c r="Q16">
        <v>82.822000000000003</v>
      </c>
      <c r="R16">
        <v>-7.21</v>
      </c>
      <c r="T16">
        <v>600</v>
      </c>
      <c r="U16">
        <v>20.786000000000001</v>
      </c>
      <c r="V16">
        <v>129.25299999999999</v>
      </c>
      <c r="W16">
        <v>118.79600000000001</v>
      </c>
      <c r="X16">
        <v>6.274</v>
      </c>
      <c r="Y16">
        <v>219.86799999999999</v>
      </c>
      <c r="Z16">
        <v>187.64</v>
      </c>
      <c r="AA16">
        <v>-16.335000000000001</v>
      </c>
      <c r="AC16">
        <v>600</v>
      </c>
      <c r="AD16">
        <v>21.123999999999999</v>
      </c>
      <c r="AE16">
        <v>176.06</v>
      </c>
      <c r="AF16">
        <v>165.291</v>
      </c>
      <c r="AG16">
        <v>6.4619999999999997</v>
      </c>
      <c r="AH16">
        <v>251.01300000000001</v>
      </c>
      <c r="AI16">
        <v>213.31200000000001</v>
      </c>
      <c r="AJ16">
        <v>-18.57</v>
      </c>
      <c r="AL16">
        <v>600</v>
      </c>
      <c r="AM16">
        <v>29.527000000000001</v>
      </c>
      <c r="AN16">
        <v>204.447</v>
      </c>
      <c r="AO16">
        <v>189.542</v>
      </c>
      <c r="AP16">
        <v>8.9429999999999996</v>
      </c>
      <c r="AQ16">
        <v>38.902000000000001</v>
      </c>
      <c r="AR16">
        <v>29.492999999999999</v>
      </c>
      <c r="AS16">
        <v>-2.5680000000000001</v>
      </c>
      <c r="AU16">
        <v>600</v>
      </c>
      <c r="AV16">
        <v>32.090000000000003</v>
      </c>
      <c r="AW16">
        <v>226.45099999999999</v>
      </c>
      <c r="AX16">
        <v>211.04400000000001</v>
      </c>
      <c r="AY16">
        <v>9.2439999999999998</v>
      </c>
      <c r="AZ16">
        <v>0</v>
      </c>
      <c r="BA16">
        <v>0</v>
      </c>
      <c r="BB16">
        <v>0</v>
      </c>
      <c r="BD16">
        <v>600</v>
      </c>
      <c r="BE16">
        <v>29.327000000000002</v>
      </c>
      <c r="BF16">
        <v>151.077</v>
      </c>
      <c r="BG16">
        <v>136.392</v>
      </c>
      <c r="BH16">
        <v>8.8109999999999999</v>
      </c>
      <c r="BI16">
        <v>0</v>
      </c>
      <c r="BJ16">
        <v>0</v>
      </c>
      <c r="BK16">
        <v>0</v>
      </c>
      <c r="BM16">
        <v>600</v>
      </c>
      <c r="BN16">
        <v>30.11</v>
      </c>
      <c r="BO16">
        <v>212.17599999999999</v>
      </c>
      <c r="BP16">
        <v>197.35300000000001</v>
      </c>
      <c r="BQ16">
        <v>8.8940000000000001</v>
      </c>
      <c r="BR16">
        <v>0</v>
      </c>
      <c r="BS16">
        <v>0</v>
      </c>
      <c r="BT16">
        <v>0</v>
      </c>
    </row>
    <row r="17" spans="2:72" x14ac:dyDescent="0.25">
      <c r="B17">
        <v>1000</v>
      </c>
      <c r="C17">
        <v>41.268000000000001</v>
      </c>
      <c r="D17">
        <v>232.738</v>
      </c>
      <c r="E17">
        <v>206.738</v>
      </c>
      <c r="F17">
        <v>26</v>
      </c>
      <c r="G17">
        <v>-247.857</v>
      </c>
      <c r="H17">
        <v>-192.59</v>
      </c>
      <c r="I17">
        <v>10.06</v>
      </c>
      <c r="K17">
        <v>700</v>
      </c>
      <c r="L17">
        <v>32.027999999999999</v>
      </c>
      <c r="M17">
        <v>236.761</v>
      </c>
      <c r="N17">
        <v>219.179</v>
      </c>
      <c r="O17">
        <v>12.307</v>
      </c>
      <c r="P17">
        <v>90.381</v>
      </c>
      <c r="Q17">
        <v>81.563999999999993</v>
      </c>
      <c r="R17">
        <v>-6.0860000000000003</v>
      </c>
      <c r="T17">
        <v>700</v>
      </c>
      <c r="U17">
        <v>20.786000000000001</v>
      </c>
      <c r="V17">
        <v>132.45699999999999</v>
      </c>
      <c r="W17">
        <v>120.524</v>
      </c>
      <c r="X17">
        <v>8.3529999999999998</v>
      </c>
      <c r="Y17">
        <v>220.47800000000001</v>
      </c>
      <c r="Z17">
        <v>182.22</v>
      </c>
      <c r="AA17">
        <v>-13.597</v>
      </c>
      <c r="AC17">
        <v>700</v>
      </c>
      <c r="AD17">
        <v>21.04</v>
      </c>
      <c r="AE17">
        <v>179.31</v>
      </c>
      <c r="AF17">
        <v>167.06700000000001</v>
      </c>
      <c r="AG17">
        <v>8.57</v>
      </c>
      <c r="AH17">
        <v>251.494</v>
      </c>
      <c r="AI17">
        <v>206.99</v>
      </c>
      <c r="AJ17">
        <v>-15.446</v>
      </c>
      <c r="AL17">
        <v>700</v>
      </c>
      <c r="AM17">
        <v>29.663</v>
      </c>
      <c r="AN17">
        <v>209.00700000000001</v>
      </c>
      <c r="AO17">
        <v>192.005</v>
      </c>
      <c r="AP17">
        <v>11.901999999999999</v>
      </c>
      <c r="AQ17">
        <v>38.764000000000003</v>
      </c>
      <c r="AR17">
        <v>27.934999999999999</v>
      </c>
      <c r="AS17">
        <v>-2.085</v>
      </c>
      <c r="AU17">
        <v>700</v>
      </c>
      <c r="AV17">
        <v>32.981000000000002</v>
      </c>
      <c r="AW17">
        <v>231.46600000000001</v>
      </c>
      <c r="AX17">
        <v>213.61099999999999</v>
      </c>
      <c r="AY17">
        <v>12.499000000000001</v>
      </c>
      <c r="AZ17">
        <v>0</v>
      </c>
      <c r="BA17">
        <v>0</v>
      </c>
      <c r="BB17">
        <v>0</v>
      </c>
      <c r="BD17">
        <v>700</v>
      </c>
      <c r="BE17">
        <v>29.440999999999999</v>
      </c>
      <c r="BF17">
        <v>155.60599999999999</v>
      </c>
      <c r="BG17">
        <v>138.822</v>
      </c>
      <c r="BH17">
        <v>11.749000000000001</v>
      </c>
      <c r="BI17">
        <v>0</v>
      </c>
      <c r="BJ17">
        <v>0</v>
      </c>
      <c r="BK17">
        <v>0</v>
      </c>
      <c r="BM17">
        <v>700</v>
      </c>
      <c r="BN17">
        <v>30.754000000000001</v>
      </c>
      <c r="BO17">
        <v>216.86600000000001</v>
      </c>
      <c r="BP17">
        <v>199.81299999999999</v>
      </c>
      <c r="BQ17">
        <v>11.936999999999999</v>
      </c>
      <c r="BR17">
        <v>0</v>
      </c>
      <c r="BS17">
        <v>0</v>
      </c>
      <c r="BT17">
        <v>0</v>
      </c>
    </row>
    <row r="18" spans="2:72" x14ac:dyDescent="0.25">
      <c r="B18">
        <v>1100</v>
      </c>
      <c r="C18">
        <v>42.536000000000001</v>
      </c>
      <c r="D18">
        <v>236.73099999999999</v>
      </c>
      <c r="E18">
        <v>209.285</v>
      </c>
      <c r="F18">
        <v>30.190999999999999</v>
      </c>
      <c r="G18">
        <v>-248.46</v>
      </c>
      <c r="H18">
        <v>-187.03299999999999</v>
      </c>
      <c r="I18">
        <v>8.8810000000000002</v>
      </c>
      <c r="K18">
        <v>800</v>
      </c>
      <c r="L18">
        <v>32.767000000000003</v>
      </c>
      <c r="M18">
        <v>241.08699999999999</v>
      </c>
      <c r="N18">
        <v>221.65199999999999</v>
      </c>
      <c r="O18">
        <v>15.548</v>
      </c>
      <c r="P18">
        <v>90.397999999999996</v>
      </c>
      <c r="Q18">
        <v>80.302999999999997</v>
      </c>
      <c r="R18">
        <v>-5.2430000000000003</v>
      </c>
      <c r="T18">
        <v>800</v>
      </c>
      <c r="U18">
        <v>20.786000000000001</v>
      </c>
      <c r="V18">
        <v>135.232</v>
      </c>
      <c r="W18">
        <v>122.193</v>
      </c>
      <c r="X18">
        <v>10.430999999999999</v>
      </c>
      <c r="Y18">
        <v>221.08</v>
      </c>
      <c r="Z18">
        <v>176.71299999999999</v>
      </c>
      <c r="AA18">
        <v>-11.538</v>
      </c>
      <c r="AC18">
        <v>800</v>
      </c>
      <c r="AD18">
        <v>20.984000000000002</v>
      </c>
      <c r="AE18">
        <v>182.11600000000001</v>
      </c>
      <c r="AF18">
        <v>168.77699999999999</v>
      </c>
      <c r="AG18">
        <v>10.670999999999999</v>
      </c>
      <c r="AH18">
        <v>251.92599999999999</v>
      </c>
      <c r="AI18">
        <v>200.602</v>
      </c>
      <c r="AJ18">
        <v>-13.098000000000001</v>
      </c>
      <c r="AL18">
        <v>800</v>
      </c>
      <c r="AM18">
        <v>29.917000000000002</v>
      </c>
      <c r="AN18">
        <v>212.983</v>
      </c>
      <c r="AO18">
        <v>194.38399999999999</v>
      </c>
      <c r="AP18">
        <v>14.88</v>
      </c>
      <c r="AQ18">
        <v>38.597999999999999</v>
      </c>
      <c r="AR18">
        <v>26.399000000000001</v>
      </c>
      <c r="AS18">
        <v>-1.724</v>
      </c>
      <c r="AU18">
        <v>800</v>
      </c>
      <c r="AV18">
        <v>33.732999999999997</v>
      </c>
      <c r="AW18">
        <v>235.92099999999999</v>
      </c>
      <c r="AX18">
        <v>216.126</v>
      </c>
      <c r="AY18">
        <v>15.835000000000001</v>
      </c>
      <c r="AZ18">
        <v>0</v>
      </c>
      <c r="BA18">
        <v>0</v>
      </c>
      <c r="BB18">
        <v>0</v>
      </c>
      <c r="BD18">
        <v>800</v>
      </c>
      <c r="BE18">
        <v>29.623999999999999</v>
      </c>
      <c r="BF18">
        <v>159.548</v>
      </c>
      <c r="BG18">
        <v>141.17099999999999</v>
      </c>
      <c r="BH18">
        <v>14.702</v>
      </c>
      <c r="BI18">
        <v>0</v>
      </c>
      <c r="BJ18">
        <v>0</v>
      </c>
      <c r="BK18">
        <v>0</v>
      </c>
      <c r="BM18">
        <v>800</v>
      </c>
      <c r="BN18">
        <v>31.433</v>
      </c>
      <c r="BO18">
        <v>221.017</v>
      </c>
      <c r="BP18">
        <v>202.209</v>
      </c>
      <c r="BQ18">
        <v>15.045999999999999</v>
      </c>
      <c r="BR18">
        <v>0</v>
      </c>
      <c r="BS18">
        <v>0</v>
      </c>
      <c r="BT18">
        <v>0</v>
      </c>
    </row>
    <row r="19" spans="2:72" x14ac:dyDescent="0.25">
      <c r="B19">
        <v>1200</v>
      </c>
      <c r="C19">
        <v>43.768000000000001</v>
      </c>
      <c r="D19">
        <v>240.48500000000001</v>
      </c>
      <c r="E19">
        <v>211.73</v>
      </c>
      <c r="F19">
        <v>34.506</v>
      </c>
      <c r="G19">
        <v>-248.99700000000001</v>
      </c>
      <c r="H19">
        <v>-181.42500000000001</v>
      </c>
      <c r="I19">
        <v>7.8970000000000002</v>
      </c>
      <c r="K19">
        <v>900</v>
      </c>
      <c r="L19">
        <v>33.421999999999997</v>
      </c>
      <c r="M19">
        <v>244.98500000000001</v>
      </c>
      <c r="N19">
        <v>224.03100000000001</v>
      </c>
      <c r="O19">
        <v>18.858000000000001</v>
      </c>
      <c r="P19">
        <v>90.417000000000002</v>
      </c>
      <c r="Q19">
        <v>79.040999999999997</v>
      </c>
      <c r="R19">
        <v>-4.5869999999999997</v>
      </c>
      <c r="T19">
        <v>900</v>
      </c>
      <c r="U19">
        <v>20.786000000000001</v>
      </c>
      <c r="V19">
        <v>137.68100000000001</v>
      </c>
      <c r="W19">
        <v>123.78100000000001</v>
      </c>
      <c r="X19">
        <v>12.51</v>
      </c>
      <c r="Y19">
        <v>221.67099999999999</v>
      </c>
      <c r="Z19">
        <v>171.13200000000001</v>
      </c>
      <c r="AA19">
        <v>-9.9320000000000004</v>
      </c>
      <c r="AC19">
        <v>900</v>
      </c>
      <c r="AD19">
        <v>20.943999999999999</v>
      </c>
      <c r="AE19">
        <v>184.58500000000001</v>
      </c>
      <c r="AF19">
        <v>170.399</v>
      </c>
      <c r="AG19">
        <v>12.766999999999999</v>
      </c>
      <c r="AH19">
        <v>252.32</v>
      </c>
      <c r="AI19">
        <v>194.16300000000001</v>
      </c>
      <c r="AJ19">
        <v>-11.269</v>
      </c>
      <c r="AL19">
        <v>900</v>
      </c>
      <c r="AM19">
        <v>30.263999999999999</v>
      </c>
      <c r="AN19">
        <v>216.52600000000001</v>
      </c>
      <c r="AO19">
        <v>196.65100000000001</v>
      </c>
      <c r="AP19">
        <v>17.888000000000002</v>
      </c>
      <c r="AQ19">
        <v>38.415999999999997</v>
      </c>
      <c r="AR19">
        <v>24.884</v>
      </c>
      <c r="AS19">
        <v>-1.444</v>
      </c>
      <c r="AU19">
        <v>900</v>
      </c>
      <c r="AV19">
        <v>34.354999999999997</v>
      </c>
      <c r="AW19">
        <v>239.93100000000001</v>
      </c>
      <c r="AX19">
        <v>218.55199999999999</v>
      </c>
      <c r="AY19">
        <v>19.241</v>
      </c>
      <c r="AZ19">
        <v>0</v>
      </c>
      <c r="BA19">
        <v>0</v>
      </c>
      <c r="BB19">
        <v>0</v>
      </c>
      <c r="BD19">
        <v>900</v>
      </c>
      <c r="BE19">
        <v>29.881</v>
      </c>
      <c r="BF19">
        <v>163.05099999999999</v>
      </c>
      <c r="BG19">
        <v>143.411</v>
      </c>
      <c r="BH19">
        <v>17.675999999999998</v>
      </c>
      <c r="BI19">
        <v>0</v>
      </c>
      <c r="BJ19">
        <v>0</v>
      </c>
      <c r="BK19">
        <v>0</v>
      </c>
      <c r="BM19">
        <v>900</v>
      </c>
      <c r="BN19">
        <v>32.090000000000003</v>
      </c>
      <c r="BO19">
        <v>224.75700000000001</v>
      </c>
      <c r="BP19">
        <v>204.51</v>
      </c>
      <c r="BQ19">
        <v>18.222999999999999</v>
      </c>
      <c r="BR19">
        <v>0</v>
      </c>
      <c r="BS19">
        <v>0</v>
      </c>
      <c r="BT19">
        <v>0</v>
      </c>
    </row>
    <row r="20" spans="2:72" x14ac:dyDescent="0.25">
      <c r="B20">
        <v>1300</v>
      </c>
      <c r="C20">
        <v>44.945</v>
      </c>
      <c r="D20">
        <v>244.035</v>
      </c>
      <c r="E20">
        <v>214.08</v>
      </c>
      <c r="F20">
        <v>38.942</v>
      </c>
      <c r="G20">
        <v>-249.47300000000001</v>
      </c>
      <c r="H20">
        <v>-175.774</v>
      </c>
      <c r="I20">
        <v>7.0629999999999997</v>
      </c>
      <c r="K20">
        <v>1000</v>
      </c>
      <c r="L20">
        <v>33.987000000000002</v>
      </c>
      <c r="M20">
        <v>248.536</v>
      </c>
      <c r="N20">
        <v>226.30699999999999</v>
      </c>
      <c r="O20">
        <v>22.228999999999999</v>
      </c>
      <c r="P20">
        <v>90.436999999999998</v>
      </c>
      <c r="Q20">
        <v>77.775000000000006</v>
      </c>
      <c r="R20">
        <v>-4.0629999999999997</v>
      </c>
      <c r="T20">
        <v>1000</v>
      </c>
      <c r="U20">
        <v>20.786000000000001</v>
      </c>
      <c r="V20">
        <v>139.87100000000001</v>
      </c>
      <c r="W20">
        <v>125.282</v>
      </c>
      <c r="X20">
        <v>14.589</v>
      </c>
      <c r="Y20">
        <v>222.24799999999999</v>
      </c>
      <c r="Z20">
        <v>165.48500000000001</v>
      </c>
      <c r="AA20">
        <v>-8.6440000000000001</v>
      </c>
      <c r="AC20">
        <v>1000</v>
      </c>
      <c r="AD20">
        <v>20.914999999999999</v>
      </c>
      <c r="AE20">
        <v>186.79</v>
      </c>
      <c r="AF20">
        <v>171.93</v>
      </c>
      <c r="AG20">
        <v>14.86</v>
      </c>
      <c r="AH20">
        <v>252.68199999999999</v>
      </c>
      <c r="AI20">
        <v>187.68100000000001</v>
      </c>
      <c r="AJ20">
        <v>-9.8030000000000008</v>
      </c>
      <c r="AL20">
        <v>1000</v>
      </c>
      <c r="AM20">
        <v>30.675999999999998</v>
      </c>
      <c r="AN20">
        <v>219.73599999999999</v>
      </c>
      <c r="AO20">
        <v>198.80099999999999</v>
      </c>
      <c r="AP20">
        <v>20.934999999999999</v>
      </c>
      <c r="AQ20">
        <v>38.229999999999997</v>
      </c>
      <c r="AR20">
        <v>23.390999999999998</v>
      </c>
      <c r="AS20">
        <v>-1.222</v>
      </c>
      <c r="AU20">
        <v>1000</v>
      </c>
      <c r="AV20">
        <v>34.869999999999997</v>
      </c>
      <c r="AW20">
        <v>243.578</v>
      </c>
      <c r="AX20">
        <v>220.875</v>
      </c>
      <c r="AY20">
        <v>22.702999999999999</v>
      </c>
      <c r="AZ20">
        <v>0</v>
      </c>
      <c r="BA20">
        <v>0</v>
      </c>
      <c r="BB20">
        <v>0</v>
      </c>
      <c r="BD20">
        <v>1000</v>
      </c>
      <c r="BE20">
        <v>30.204999999999998</v>
      </c>
      <c r="BF20">
        <v>166.21600000000001</v>
      </c>
      <c r="BG20">
        <v>145.536</v>
      </c>
      <c r="BH20">
        <v>20.68</v>
      </c>
      <c r="BI20">
        <v>0</v>
      </c>
      <c r="BJ20">
        <v>0</v>
      </c>
      <c r="BK20">
        <v>0</v>
      </c>
      <c r="BM20">
        <v>1000</v>
      </c>
      <c r="BN20">
        <v>32.697000000000003</v>
      </c>
      <c r="BO20">
        <v>228.17</v>
      </c>
      <c r="BP20">
        <v>206.708</v>
      </c>
      <c r="BQ20">
        <v>21.463000000000001</v>
      </c>
      <c r="BR20">
        <v>0</v>
      </c>
      <c r="BS20">
        <v>0</v>
      </c>
      <c r="BT20">
        <v>0</v>
      </c>
    </row>
    <row r="21" spans="2:72" x14ac:dyDescent="0.25">
      <c r="B21">
        <v>1400</v>
      </c>
      <c r="C21">
        <v>46.054000000000002</v>
      </c>
      <c r="D21">
        <v>247.40700000000001</v>
      </c>
      <c r="E21">
        <v>216.34100000000001</v>
      </c>
      <c r="F21">
        <v>43.493000000000002</v>
      </c>
      <c r="G21">
        <v>-249.89400000000001</v>
      </c>
      <c r="H21">
        <v>-170.089</v>
      </c>
      <c r="I21">
        <v>6.3460000000000001</v>
      </c>
      <c r="K21">
        <v>1100</v>
      </c>
      <c r="L21">
        <v>34.468000000000004</v>
      </c>
      <c r="M21">
        <v>251.79900000000001</v>
      </c>
      <c r="N21">
        <v>228.47800000000001</v>
      </c>
      <c r="O21">
        <v>25.652999999999999</v>
      </c>
      <c r="P21">
        <v>90.456999999999994</v>
      </c>
      <c r="Q21">
        <v>76.507999999999996</v>
      </c>
      <c r="R21">
        <v>-3.633</v>
      </c>
      <c r="T21">
        <v>1100</v>
      </c>
      <c r="U21">
        <v>20.786000000000001</v>
      </c>
      <c r="V21">
        <v>141.852</v>
      </c>
      <c r="W21">
        <v>126.7</v>
      </c>
      <c r="X21">
        <v>16.667000000000002</v>
      </c>
      <c r="Y21">
        <v>222.80699999999999</v>
      </c>
      <c r="Z21">
        <v>159.78200000000001</v>
      </c>
      <c r="AA21">
        <v>-7.5869999999999997</v>
      </c>
      <c r="AC21">
        <v>1100</v>
      </c>
      <c r="AD21">
        <v>20.893000000000001</v>
      </c>
      <c r="AE21">
        <v>188.78200000000001</v>
      </c>
      <c r="AF21">
        <v>173.37299999999999</v>
      </c>
      <c r="AG21">
        <v>16.95</v>
      </c>
      <c r="AH21">
        <v>253.018</v>
      </c>
      <c r="AI21">
        <v>181.16499999999999</v>
      </c>
      <c r="AJ21">
        <v>-8.6029999999999998</v>
      </c>
      <c r="AL21">
        <v>1100</v>
      </c>
      <c r="AM21">
        <v>31.123999999999999</v>
      </c>
      <c r="AN21">
        <v>222.68</v>
      </c>
      <c r="AO21">
        <v>200.84</v>
      </c>
      <c r="AP21">
        <v>24.024000000000001</v>
      </c>
      <c r="AQ21">
        <v>38.045999999999999</v>
      </c>
      <c r="AR21">
        <v>21.916</v>
      </c>
      <c r="AS21">
        <v>-1.0409999999999999</v>
      </c>
      <c r="AU21">
        <v>1100</v>
      </c>
      <c r="AV21">
        <v>35.299999999999997</v>
      </c>
      <c r="AW21">
        <v>246.922</v>
      </c>
      <c r="AX21">
        <v>223.09299999999999</v>
      </c>
      <c r="AY21">
        <v>26.212</v>
      </c>
      <c r="AZ21">
        <v>0</v>
      </c>
      <c r="BA21">
        <v>0</v>
      </c>
      <c r="BB21">
        <v>0</v>
      </c>
      <c r="BD21">
        <v>1100</v>
      </c>
      <c r="BE21">
        <v>30.581</v>
      </c>
      <c r="BF21">
        <v>169.11199999999999</v>
      </c>
      <c r="BG21">
        <v>147.54900000000001</v>
      </c>
      <c r="BH21">
        <v>23.719000000000001</v>
      </c>
      <c r="BI21">
        <v>0</v>
      </c>
      <c r="BJ21">
        <v>0</v>
      </c>
      <c r="BK21">
        <v>0</v>
      </c>
      <c r="BM21">
        <v>1100</v>
      </c>
      <c r="BN21">
        <v>33.241</v>
      </c>
      <c r="BO21">
        <v>231.31299999999999</v>
      </c>
      <c r="BP21">
        <v>208.804</v>
      </c>
      <c r="BQ21">
        <v>24.76</v>
      </c>
      <c r="BR21">
        <v>0</v>
      </c>
      <c r="BS21">
        <v>0</v>
      </c>
      <c r="BT21">
        <v>0</v>
      </c>
    </row>
    <row r="22" spans="2:72" x14ac:dyDescent="0.25">
      <c r="B22">
        <v>1500</v>
      </c>
      <c r="C22">
        <v>47.09</v>
      </c>
      <c r="D22">
        <v>250.62</v>
      </c>
      <c r="E22">
        <v>218.52</v>
      </c>
      <c r="F22">
        <v>48.151000000000003</v>
      </c>
      <c r="G22">
        <v>-250.26499999999999</v>
      </c>
      <c r="H22">
        <v>-164.376</v>
      </c>
      <c r="I22">
        <v>5.7240000000000002</v>
      </c>
      <c r="K22">
        <v>1200</v>
      </c>
      <c r="L22">
        <v>34.877000000000002</v>
      </c>
      <c r="M22">
        <v>254.816</v>
      </c>
      <c r="N22">
        <v>230.54900000000001</v>
      </c>
      <c r="O22">
        <v>29.12</v>
      </c>
      <c r="P22">
        <v>90.475999999999999</v>
      </c>
      <c r="Q22">
        <v>75.239000000000004</v>
      </c>
      <c r="R22">
        <v>-3.2749999999999999</v>
      </c>
      <c r="T22">
        <v>1200</v>
      </c>
      <c r="U22">
        <v>20.786000000000001</v>
      </c>
      <c r="V22">
        <v>143.66</v>
      </c>
      <c r="W22">
        <v>128.03899999999999</v>
      </c>
      <c r="X22">
        <v>18.745999999999999</v>
      </c>
      <c r="Y22">
        <v>223.346</v>
      </c>
      <c r="Z22">
        <v>154.02799999999999</v>
      </c>
      <c r="AA22">
        <v>-6.7050000000000001</v>
      </c>
      <c r="AC22">
        <v>1200</v>
      </c>
      <c r="AD22">
        <v>20.876999999999999</v>
      </c>
      <c r="AE22">
        <v>190.59899999999999</v>
      </c>
      <c r="AF22">
        <v>174.73400000000001</v>
      </c>
      <c r="AG22">
        <v>19.039000000000001</v>
      </c>
      <c r="AH22">
        <v>253.33199999999999</v>
      </c>
      <c r="AI22">
        <v>174.619</v>
      </c>
      <c r="AJ22">
        <v>-7.601</v>
      </c>
      <c r="AL22">
        <v>1200</v>
      </c>
      <c r="AM22">
        <v>31.585999999999999</v>
      </c>
      <c r="AN22">
        <v>225.40799999999999</v>
      </c>
      <c r="AO22">
        <v>202.77500000000001</v>
      </c>
      <c r="AP22">
        <v>27.16</v>
      </c>
      <c r="AQ22">
        <v>37.866999999999997</v>
      </c>
      <c r="AR22">
        <v>20.457999999999998</v>
      </c>
      <c r="AS22">
        <v>-0.89100000000000001</v>
      </c>
      <c r="AU22">
        <v>1200</v>
      </c>
      <c r="AV22">
        <v>35.667000000000002</v>
      </c>
      <c r="AW22">
        <v>250.01</v>
      </c>
      <c r="AX22">
        <v>225.209</v>
      </c>
      <c r="AY22">
        <v>29.760999999999999</v>
      </c>
      <c r="AZ22">
        <v>0</v>
      </c>
      <c r="BA22">
        <v>0</v>
      </c>
      <c r="BB22">
        <v>0</v>
      </c>
      <c r="BD22">
        <v>1200</v>
      </c>
      <c r="BE22">
        <v>30.992000000000001</v>
      </c>
      <c r="BF22">
        <v>171.79</v>
      </c>
      <c r="BG22">
        <v>149.459</v>
      </c>
      <c r="BH22">
        <v>26.797000000000001</v>
      </c>
      <c r="BI22">
        <v>0</v>
      </c>
      <c r="BJ22">
        <v>0</v>
      </c>
      <c r="BK22">
        <v>0</v>
      </c>
      <c r="BM22">
        <v>1200</v>
      </c>
      <c r="BN22">
        <v>33.722999999999999</v>
      </c>
      <c r="BO22">
        <v>234.226</v>
      </c>
      <c r="BP22">
        <v>210.80199999999999</v>
      </c>
      <c r="BQ22">
        <v>28.109000000000002</v>
      </c>
      <c r="BR22">
        <v>0</v>
      </c>
      <c r="BS22">
        <v>0</v>
      </c>
      <c r="BT22">
        <v>0</v>
      </c>
    </row>
    <row r="23" spans="2:72" x14ac:dyDescent="0.25">
      <c r="B23">
        <v>1600</v>
      </c>
      <c r="C23">
        <v>48.05</v>
      </c>
      <c r="D23">
        <v>253.69</v>
      </c>
      <c r="E23">
        <v>220.62299999999999</v>
      </c>
      <c r="F23">
        <v>52.908000000000001</v>
      </c>
      <c r="G23">
        <v>-250.59200000000001</v>
      </c>
      <c r="H23">
        <v>-158.63900000000001</v>
      </c>
      <c r="I23">
        <v>5.1790000000000003</v>
      </c>
      <c r="K23">
        <v>1300</v>
      </c>
      <c r="L23">
        <v>35.225999999999999</v>
      </c>
      <c r="M23">
        <v>257.62099999999998</v>
      </c>
      <c r="N23">
        <v>232.52500000000001</v>
      </c>
      <c r="O23">
        <v>32.625999999999998</v>
      </c>
      <c r="P23">
        <v>90.492999999999995</v>
      </c>
      <c r="Q23">
        <v>73.968999999999994</v>
      </c>
      <c r="R23">
        <v>-2.972</v>
      </c>
      <c r="T23">
        <v>1300</v>
      </c>
      <c r="U23">
        <v>20.786000000000001</v>
      </c>
      <c r="V23">
        <v>145.32400000000001</v>
      </c>
      <c r="W23">
        <v>129.30500000000001</v>
      </c>
      <c r="X23">
        <v>20.824000000000002</v>
      </c>
      <c r="Y23">
        <v>223.86500000000001</v>
      </c>
      <c r="Z23">
        <v>148.22999999999999</v>
      </c>
      <c r="AA23">
        <v>-5.9560000000000004</v>
      </c>
      <c r="AC23">
        <v>1300</v>
      </c>
      <c r="AD23">
        <v>20.864000000000001</v>
      </c>
      <c r="AE23">
        <v>192.27</v>
      </c>
      <c r="AF23">
        <v>176.01900000000001</v>
      </c>
      <c r="AG23">
        <v>21.126000000000001</v>
      </c>
      <c r="AH23">
        <v>253.62700000000001</v>
      </c>
      <c r="AI23">
        <v>168.047</v>
      </c>
      <c r="AJ23">
        <v>-6.7519999999999998</v>
      </c>
      <c r="AL23">
        <v>1300</v>
      </c>
      <c r="AM23">
        <v>32.045999999999999</v>
      </c>
      <c r="AN23">
        <v>227.95500000000001</v>
      </c>
      <c r="AO23">
        <v>204.61500000000001</v>
      </c>
      <c r="AP23">
        <v>30.341999999999999</v>
      </c>
      <c r="AQ23">
        <v>37.697000000000003</v>
      </c>
      <c r="AR23">
        <v>19.013999999999999</v>
      </c>
      <c r="AS23">
        <v>-0.76400000000000001</v>
      </c>
      <c r="AU23">
        <v>1300</v>
      </c>
      <c r="AV23">
        <v>35.988</v>
      </c>
      <c r="AW23">
        <v>252.87799999999999</v>
      </c>
      <c r="AX23">
        <v>227.22900000000001</v>
      </c>
      <c r="AY23">
        <v>33.344000000000001</v>
      </c>
      <c r="AZ23">
        <v>0</v>
      </c>
      <c r="BA23">
        <v>0</v>
      </c>
      <c r="BB23">
        <v>0</v>
      </c>
      <c r="BD23">
        <v>1300</v>
      </c>
      <c r="BE23">
        <v>31.422999999999998</v>
      </c>
      <c r="BF23">
        <v>174.28800000000001</v>
      </c>
      <c r="BG23">
        <v>151.274</v>
      </c>
      <c r="BH23">
        <v>29.917999999999999</v>
      </c>
      <c r="BI23">
        <v>0</v>
      </c>
      <c r="BJ23">
        <v>0</v>
      </c>
      <c r="BK23">
        <v>0</v>
      </c>
      <c r="BM23">
        <v>1300</v>
      </c>
      <c r="BN23">
        <v>34.146999999999998</v>
      </c>
      <c r="BO23">
        <v>236.94300000000001</v>
      </c>
      <c r="BP23">
        <v>212.71</v>
      </c>
      <c r="BQ23">
        <v>31.503</v>
      </c>
      <c r="BR23">
        <v>0</v>
      </c>
      <c r="BS23">
        <v>0</v>
      </c>
      <c r="BT23">
        <v>0</v>
      </c>
    </row>
    <row r="24" spans="2:72" x14ac:dyDescent="0.25">
      <c r="B24">
        <v>1700</v>
      </c>
      <c r="C24">
        <v>48.935000000000002</v>
      </c>
      <c r="D24">
        <v>256.63</v>
      </c>
      <c r="E24">
        <v>222.655</v>
      </c>
      <c r="F24">
        <v>57.758000000000003</v>
      </c>
      <c r="G24">
        <v>-250.881</v>
      </c>
      <c r="H24">
        <v>-152.88300000000001</v>
      </c>
      <c r="I24">
        <v>4.6980000000000004</v>
      </c>
      <c r="K24">
        <v>1400</v>
      </c>
      <c r="L24">
        <v>35.524000000000001</v>
      </c>
      <c r="M24">
        <v>260.24299999999999</v>
      </c>
      <c r="N24">
        <v>234.41200000000001</v>
      </c>
      <c r="O24">
        <v>36.164000000000001</v>
      </c>
      <c r="P24">
        <v>90.507999999999996</v>
      </c>
      <c r="Q24">
        <v>72.697000000000003</v>
      </c>
      <c r="R24">
        <v>-2.7120000000000002</v>
      </c>
      <c r="T24">
        <v>1400</v>
      </c>
      <c r="U24">
        <v>20.786000000000001</v>
      </c>
      <c r="V24">
        <v>146.86500000000001</v>
      </c>
      <c r="W24">
        <v>130.505</v>
      </c>
      <c r="X24">
        <v>22.902999999999999</v>
      </c>
      <c r="Y24">
        <v>224.36099999999999</v>
      </c>
      <c r="Z24">
        <v>142.39400000000001</v>
      </c>
      <c r="AA24">
        <v>-5.3129999999999997</v>
      </c>
      <c r="AC24">
        <v>1400</v>
      </c>
      <c r="AD24">
        <v>20.853000000000002</v>
      </c>
      <c r="AE24">
        <v>193.816</v>
      </c>
      <c r="AF24">
        <v>177.23599999999999</v>
      </c>
      <c r="AG24">
        <v>23.212</v>
      </c>
      <c r="AH24">
        <v>253.90600000000001</v>
      </c>
      <c r="AI24">
        <v>161.453</v>
      </c>
      <c r="AJ24">
        <v>-6.024</v>
      </c>
      <c r="AL24">
        <v>1400</v>
      </c>
      <c r="AM24">
        <v>32.491999999999997</v>
      </c>
      <c r="AN24">
        <v>230.346</v>
      </c>
      <c r="AO24">
        <v>206.36799999999999</v>
      </c>
      <c r="AP24">
        <v>33.569000000000003</v>
      </c>
      <c r="AQ24">
        <v>37.534999999999997</v>
      </c>
      <c r="AR24">
        <v>17.582999999999998</v>
      </c>
      <c r="AS24">
        <v>-0.65600000000000003</v>
      </c>
      <c r="AU24">
        <v>1400</v>
      </c>
      <c r="AV24">
        <v>36.277000000000001</v>
      </c>
      <c r="AW24">
        <v>255.55600000000001</v>
      </c>
      <c r="AX24">
        <v>229.15799999999999</v>
      </c>
      <c r="AY24">
        <v>36.957000000000001</v>
      </c>
      <c r="AZ24">
        <v>0</v>
      </c>
      <c r="BA24">
        <v>0</v>
      </c>
      <c r="BB24">
        <v>0</v>
      </c>
      <c r="BD24">
        <v>1400</v>
      </c>
      <c r="BE24">
        <v>31.861000000000001</v>
      </c>
      <c r="BF24">
        <v>176.63300000000001</v>
      </c>
      <c r="BG24">
        <v>153.00299999999999</v>
      </c>
      <c r="BH24">
        <v>33.082000000000001</v>
      </c>
      <c r="BI24">
        <v>0</v>
      </c>
      <c r="BJ24">
        <v>0</v>
      </c>
      <c r="BK24">
        <v>0</v>
      </c>
      <c r="BM24">
        <v>1400</v>
      </c>
      <c r="BN24">
        <v>34.518000000000001</v>
      </c>
      <c r="BO24">
        <v>239.48699999999999</v>
      </c>
      <c r="BP24">
        <v>214.53299999999999</v>
      </c>
      <c r="BQ24">
        <v>34.936</v>
      </c>
      <c r="BR24">
        <v>0</v>
      </c>
      <c r="BS24">
        <v>0</v>
      </c>
      <c r="BT24">
        <v>0</v>
      </c>
    </row>
    <row r="25" spans="2:72" x14ac:dyDescent="0.25">
      <c r="B25">
        <v>1800</v>
      </c>
      <c r="C25">
        <v>49.749000000000002</v>
      </c>
      <c r="D25">
        <v>259.45100000000002</v>
      </c>
      <c r="E25">
        <v>224.62100000000001</v>
      </c>
      <c r="F25">
        <v>62.692999999999998</v>
      </c>
      <c r="G25">
        <v>-251.13800000000001</v>
      </c>
      <c r="H25">
        <v>-147.11099999999999</v>
      </c>
      <c r="I25">
        <v>4.2690000000000001</v>
      </c>
      <c r="K25">
        <v>1500</v>
      </c>
      <c r="L25">
        <v>35.78</v>
      </c>
      <c r="M25">
        <v>262.70299999999997</v>
      </c>
      <c r="N25">
        <v>236.21700000000001</v>
      </c>
      <c r="O25">
        <v>39.728999999999999</v>
      </c>
      <c r="P25">
        <v>90.518000000000001</v>
      </c>
      <c r="Q25">
        <v>71.424999999999997</v>
      </c>
      <c r="R25">
        <v>-2.4870000000000001</v>
      </c>
      <c r="T25">
        <v>1500</v>
      </c>
      <c r="U25">
        <v>20.786000000000001</v>
      </c>
      <c r="V25">
        <v>148.29900000000001</v>
      </c>
      <c r="W25">
        <v>131.64400000000001</v>
      </c>
      <c r="X25">
        <v>24.981999999999999</v>
      </c>
      <c r="Y25">
        <v>224.83600000000001</v>
      </c>
      <c r="Z25">
        <v>136.52199999999999</v>
      </c>
      <c r="AA25">
        <v>-4.7539999999999996</v>
      </c>
      <c r="AC25">
        <v>1500</v>
      </c>
      <c r="AD25">
        <v>20.844999999999999</v>
      </c>
      <c r="AE25">
        <v>195.25399999999999</v>
      </c>
      <c r="AF25">
        <v>178.39</v>
      </c>
      <c r="AG25">
        <v>25.295999999999999</v>
      </c>
      <c r="AH25">
        <v>254.17099999999999</v>
      </c>
      <c r="AI25">
        <v>154.84</v>
      </c>
      <c r="AJ25">
        <v>-5.3920000000000003</v>
      </c>
      <c r="AL25">
        <v>1500</v>
      </c>
      <c r="AM25">
        <v>32.917000000000002</v>
      </c>
      <c r="AN25">
        <v>232.602</v>
      </c>
      <c r="AO25">
        <v>208.04300000000001</v>
      </c>
      <c r="AP25">
        <v>36.838999999999999</v>
      </c>
      <c r="AQ25">
        <v>37.381</v>
      </c>
      <c r="AR25">
        <v>16.163</v>
      </c>
      <c r="AS25">
        <v>-0.56299999999999994</v>
      </c>
      <c r="AU25">
        <v>1500</v>
      </c>
      <c r="AV25">
        <v>36.543999999999997</v>
      </c>
      <c r="AW25">
        <v>258.06799999999998</v>
      </c>
      <c r="AX25">
        <v>231.00200000000001</v>
      </c>
      <c r="AY25">
        <v>40.598999999999997</v>
      </c>
      <c r="AZ25">
        <v>0</v>
      </c>
      <c r="BA25">
        <v>0</v>
      </c>
      <c r="BB25">
        <v>0</v>
      </c>
      <c r="BD25">
        <v>1500</v>
      </c>
      <c r="BE25">
        <v>32.298000000000002</v>
      </c>
      <c r="BF25">
        <v>178.846</v>
      </c>
      <c r="BG25">
        <v>154.65199999999999</v>
      </c>
      <c r="BH25">
        <v>36.29</v>
      </c>
      <c r="BI25">
        <v>0</v>
      </c>
      <c r="BJ25">
        <v>0</v>
      </c>
      <c r="BK25">
        <v>0</v>
      </c>
      <c r="BM25">
        <v>1500</v>
      </c>
      <c r="BN25">
        <v>34.843000000000004</v>
      </c>
      <c r="BO25">
        <v>241.88</v>
      </c>
      <c r="BP25">
        <v>216.27699999999999</v>
      </c>
      <c r="BQ25">
        <v>38.405000000000001</v>
      </c>
      <c r="BR25">
        <v>0</v>
      </c>
      <c r="BS25">
        <v>0</v>
      </c>
      <c r="BT25">
        <v>0</v>
      </c>
    </row>
    <row r="26" spans="2:72" x14ac:dyDescent="0.25">
      <c r="B26">
        <v>1900</v>
      </c>
      <c r="C26">
        <v>50.496000000000002</v>
      </c>
      <c r="D26">
        <v>262.161</v>
      </c>
      <c r="E26">
        <v>226.52600000000001</v>
      </c>
      <c r="F26">
        <v>67.706000000000003</v>
      </c>
      <c r="G26">
        <v>-251.36799999999999</v>
      </c>
      <c r="H26">
        <v>-141.32499999999999</v>
      </c>
      <c r="I26">
        <v>3.8849999999999998</v>
      </c>
      <c r="K26">
        <v>1600</v>
      </c>
      <c r="L26">
        <v>36.002000000000002</v>
      </c>
      <c r="M26">
        <v>265.01900000000001</v>
      </c>
      <c r="N26">
        <v>237.94499999999999</v>
      </c>
      <c r="O26">
        <v>43.319000000000003</v>
      </c>
      <c r="P26">
        <v>90.525000000000006</v>
      </c>
      <c r="Q26">
        <v>70.150999999999996</v>
      </c>
      <c r="R26">
        <v>-2.29</v>
      </c>
      <c r="T26">
        <v>1600</v>
      </c>
      <c r="U26">
        <v>20.786000000000001</v>
      </c>
      <c r="V26">
        <v>149.63999999999999</v>
      </c>
      <c r="W26">
        <v>132.72800000000001</v>
      </c>
      <c r="X26">
        <v>27.06</v>
      </c>
      <c r="Y26">
        <v>225.28899999999999</v>
      </c>
      <c r="Z26">
        <v>130.62</v>
      </c>
      <c r="AA26">
        <v>-4.2640000000000002</v>
      </c>
      <c r="AC26">
        <v>1600</v>
      </c>
      <c r="AD26">
        <v>20.838000000000001</v>
      </c>
      <c r="AE26">
        <v>196.59899999999999</v>
      </c>
      <c r="AF26">
        <v>179.48599999999999</v>
      </c>
      <c r="AG26">
        <v>27.381</v>
      </c>
      <c r="AH26">
        <v>254.42099999999999</v>
      </c>
      <c r="AI26">
        <v>148.21</v>
      </c>
      <c r="AJ26">
        <v>-4.8390000000000004</v>
      </c>
      <c r="AL26">
        <v>1600</v>
      </c>
      <c r="AM26">
        <v>33.319000000000003</v>
      </c>
      <c r="AN26">
        <v>234.74</v>
      </c>
      <c r="AO26">
        <v>209.64500000000001</v>
      </c>
      <c r="AP26">
        <v>40.151000000000003</v>
      </c>
      <c r="AQ26">
        <v>37.234000000000002</v>
      </c>
      <c r="AR26">
        <v>14.753</v>
      </c>
      <c r="AS26">
        <v>-0.48199999999999998</v>
      </c>
      <c r="AU26">
        <v>1600</v>
      </c>
      <c r="AV26">
        <v>36.795999999999999</v>
      </c>
      <c r="AW26">
        <v>260.43400000000003</v>
      </c>
      <c r="AX26">
        <v>232.768</v>
      </c>
      <c r="AY26">
        <v>44.265999999999998</v>
      </c>
      <c r="AZ26">
        <v>0</v>
      </c>
      <c r="BA26">
        <v>0</v>
      </c>
      <c r="BB26">
        <v>0</v>
      </c>
      <c r="BD26">
        <v>1600</v>
      </c>
      <c r="BE26">
        <v>32.725000000000001</v>
      </c>
      <c r="BF26">
        <v>180.94399999999999</v>
      </c>
      <c r="BG26">
        <v>156.23099999999999</v>
      </c>
      <c r="BH26">
        <v>39.540999999999997</v>
      </c>
      <c r="BI26">
        <v>0</v>
      </c>
      <c r="BJ26">
        <v>0</v>
      </c>
      <c r="BK26">
        <v>0</v>
      </c>
      <c r="BM26">
        <v>1600</v>
      </c>
      <c r="BN26">
        <v>35.128</v>
      </c>
      <c r="BO26">
        <v>244.13800000000001</v>
      </c>
      <c r="BP26">
        <v>217.94800000000001</v>
      </c>
      <c r="BQ26">
        <v>41.904000000000003</v>
      </c>
      <c r="BR26">
        <v>0</v>
      </c>
      <c r="BS26">
        <v>0</v>
      </c>
      <c r="BT26">
        <v>0</v>
      </c>
    </row>
    <row r="27" spans="2:72" x14ac:dyDescent="0.25">
      <c r="B27">
        <v>2000</v>
      </c>
      <c r="C27">
        <v>51.18</v>
      </c>
      <c r="D27">
        <v>264.76900000000001</v>
      </c>
      <c r="E27">
        <v>228.374</v>
      </c>
      <c r="F27">
        <v>72.790000000000006</v>
      </c>
      <c r="G27">
        <v>-251.57499999999999</v>
      </c>
      <c r="H27">
        <v>-135.52799999999999</v>
      </c>
      <c r="I27">
        <v>3.54</v>
      </c>
      <c r="K27">
        <v>1700</v>
      </c>
      <c r="L27">
        <v>36.195</v>
      </c>
      <c r="M27">
        <v>267.20800000000003</v>
      </c>
      <c r="N27">
        <v>239.60300000000001</v>
      </c>
      <c r="O27">
        <v>46.929000000000002</v>
      </c>
      <c r="P27">
        <v>90.525999999999996</v>
      </c>
      <c r="Q27">
        <v>68.878</v>
      </c>
      <c r="R27">
        <v>-2.1160000000000001</v>
      </c>
      <c r="T27">
        <v>1700</v>
      </c>
      <c r="U27">
        <v>20.786000000000001</v>
      </c>
      <c r="V27">
        <v>150.9</v>
      </c>
      <c r="W27">
        <v>133.76</v>
      </c>
      <c r="X27">
        <v>29.138999999999999</v>
      </c>
      <c r="Y27">
        <v>225.721</v>
      </c>
      <c r="Z27">
        <v>124.68899999999999</v>
      </c>
      <c r="AA27">
        <v>-3.831</v>
      </c>
      <c r="AC27">
        <v>1700</v>
      </c>
      <c r="AD27">
        <v>20.832999999999998</v>
      </c>
      <c r="AE27">
        <v>197.86199999999999</v>
      </c>
      <c r="AF27">
        <v>180.53</v>
      </c>
      <c r="AG27">
        <v>29.463999999999999</v>
      </c>
      <c r="AH27">
        <v>254.65899999999999</v>
      </c>
      <c r="AI27">
        <v>141.56399999999999</v>
      </c>
      <c r="AJ27">
        <v>-4.3499999999999996</v>
      </c>
      <c r="AL27">
        <v>1700</v>
      </c>
      <c r="AM27">
        <v>33.694000000000003</v>
      </c>
      <c r="AN27">
        <v>236.77099999999999</v>
      </c>
      <c r="AO27">
        <v>211.18199999999999</v>
      </c>
      <c r="AP27">
        <v>43.502000000000002</v>
      </c>
      <c r="AQ27">
        <v>37.093000000000004</v>
      </c>
      <c r="AR27">
        <v>13.352</v>
      </c>
      <c r="AS27">
        <v>-0.41</v>
      </c>
      <c r="AU27">
        <v>1700</v>
      </c>
      <c r="AV27">
        <v>37.04</v>
      </c>
      <c r="AW27">
        <v>262.67200000000003</v>
      </c>
      <c r="AX27">
        <v>234.46199999999999</v>
      </c>
      <c r="AY27">
        <v>47.957999999999998</v>
      </c>
      <c r="AZ27">
        <v>0</v>
      </c>
      <c r="BA27">
        <v>0</v>
      </c>
      <c r="BB27">
        <v>0</v>
      </c>
      <c r="BD27">
        <v>1700</v>
      </c>
      <c r="BE27">
        <v>33.139000000000003</v>
      </c>
      <c r="BF27">
        <v>182.94</v>
      </c>
      <c r="BG27">
        <v>157.74299999999999</v>
      </c>
      <c r="BH27">
        <v>42.835000000000001</v>
      </c>
      <c r="BI27">
        <v>0</v>
      </c>
      <c r="BJ27">
        <v>0</v>
      </c>
      <c r="BK27">
        <v>0</v>
      </c>
      <c r="BM27">
        <v>1700</v>
      </c>
      <c r="BN27">
        <v>35.378</v>
      </c>
      <c r="BO27">
        <v>246.27500000000001</v>
      </c>
      <c r="BP27">
        <v>219.55199999999999</v>
      </c>
      <c r="BQ27">
        <v>45.429000000000002</v>
      </c>
      <c r="BR27">
        <v>0</v>
      </c>
      <c r="BS27">
        <v>0</v>
      </c>
      <c r="BT27">
        <v>0</v>
      </c>
    </row>
    <row r="28" spans="2:72" x14ac:dyDescent="0.25">
      <c r="B28">
        <v>2100</v>
      </c>
      <c r="C28">
        <v>51.823</v>
      </c>
      <c r="D28">
        <v>267.28199999999998</v>
      </c>
      <c r="E28">
        <v>230.167</v>
      </c>
      <c r="F28">
        <v>77.941000000000003</v>
      </c>
      <c r="G28">
        <v>-251.762</v>
      </c>
      <c r="H28">
        <v>-129.721</v>
      </c>
      <c r="I28">
        <v>3.2269999999999999</v>
      </c>
      <c r="K28">
        <v>1800</v>
      </c>
      <c r="L28">
        <v>36.363999999999997</v>
      </c>
      <c r="M28">
        <v>269.28199999999998</v>
      </c>
      <c r="N28">
        <v>241.19499999999999</v>
      </c>
      <c r="O28">
        <v>50.557000000000002</v>
      </c>
      <c r="P28">
        <v>90.522000000000006</v>
      </c>
      <c r="Q28">
        <v>67.605000000000004</v>
      </c>
      <c r="R28">
        <v>-1.962</v>
      </c>
      <c r="T28">
        <v>1800</v>
      </c>
      <c r="U28">
        <v>20.786000000000001</v>
      </c>
      <c r="V28">
        <v>152.08799999999999</v>
      </c>
      <c r="W28">
        <v>134.745</v>
      </c>
      <c r="X28">
        <v>31.216999999999999</v>
      </c>
      <c r="Y28">
        <v>226.13200000000001</v>
      </c>
      <c r="Z28">
        <v>118.73399999999999</v>
      </c>
      <c r="AA28">
        <v>-3.4460000000000002</v>
      </c>
      <c r="AC28">
        <v>1800</v>
      </c>
      <c r="AD28">
        <v>20.83</v>
      </c>
      <c r="AE28">
        <v>199.053</v>
      </c>
      <c r="AF28">
        <v>181.52699999999999</v>
      </c>
      <c r="AG28">
        <v>31.547000000000001</v>
      </c>
      <c r="AH28">
        <v>254.88399999999999</v>
      </c>
      <c r="AI28">
        <v>134.905</v>
      </c>
      <c r="AJ28">
        <v>-3.915</v>
      </c>
      <c r="AL28">
        <v>1800</v>
      </c>
      <c r="AM28">
        <v>34.043999999999997</v>
      </c>
      <c r="AN28">
        <v>238.70699999999999</v>
      </c>
      <c r="AO28">
        <v>212.65700000000001</v>
      </c>
      <c r="AP28">
        <v>46.889000000000003</v>
      </c>
      <c r="AQ28">
        <v>36.954999999999998</v>
      </c>
      <c r="AR28">
        <v>11.96</v>
      </c>
      <c r="AS28">
        <v>-0.34699999999999998</v>
      </c>
      <c r="AU28">
        <v>1800</v>
      </c>
      <c r="AV28">
        <v>37.277000000000001</v>
      </c>
      <c r="AW28">
        <v>264.79599999999999</v>
      </c>
      <c r="AX28">
        <v>236.089</v>
      </c>
      <c r="AY28">
        <v>51.673000000000002</v>
      </c>
      <c r="AZ28">
        <v>0</v>
      </c>
      <c r="BA28">
        <v>0</v>
      </c>
      <c r="BB28">
        <v>0</v>
      </c>
      <c r="BD28">
        <v>1800</v>
      </c>
      <c r="BE28">
        <v>33.536999999999999</v>
      </c>
      <c r="BF28">
        <v>184.846</v>
      </c>
      <c r="BG28">
        <v>159.197</v>
      </c>
      <c r="BH28">
        <v>46.168999999999997</v>
      </c>
      <c r="BI28">
        <v>0</v>
      </c>
      <c r="BJ28">
        <v>0</v>
      </c>
      <c r="BK28">
        <v>0</v>
      </c>
      <c r="BM28">
        <v>1800</v>
      </c>
      <c r="BN28">
        <v>35.6</v>
      </c>
      <c r="BO28">
        <v>248.304</v>
      </c>
      <c r="BP28">
        <v>221.09399999999999</v>
      </c>
      <c r="BQ28">
        <v>48.978000000000002</v>
      </c>
      <c r="BR28">
        <v>0</v>
      </c>
      <c r="BS28">
        <v>0</v>
      </c>
      <c r="BT28">
        <v>0</v>
      </c>
    </row>
    <row r="29" spans="2:72" x14ac:dyDescent="0.25">
      <c r="B29">
        <v>2200</v>
      </c>
      <c r="C29">
        <v>52.408000000000001</v>
      </c>
      <c r="D29">
        <v>269.70600000000002</v>
      </c>
      <c r="E29">
        <v>231.90899999999999</v>
      </c>
      <c r="F29">
        <v>83.153000000000006</v>
      </c>
      <c r="G29">
        <v>-251.934</v>
      </c>
      <c r="H29">
        <v>-123.905</v>
      </c>
      <c r="I29">
        <v>2.9420000000000002</v>
      </c>
      <c r="K29">
        <v>1900</v>
      </c>
      <c r="L29">
        <v>36.514000000000003</v>
      </c>
      <c r="M29">
        <v>271.25200000000001</v>
      </c>
      <c r="N29">
        <v>242.72499999999999</v>
      </c>
      <c r="O29">
        <v>54.201000000000001</v>
      </c>
      <c r="P29">
        <v>90.510999999999996</v>
      </c>
      <c r="Q29">
        <v>66.331999999999994</v>
      </c>
      <c r="R29">
        <v>-1.8240000000000001</v>
      </c>
      <c r="T29">
        <v>1900</v>
      </c>
      <c r="U29">
        <v>20.786000000000001</v>
      </c>
      <c r="V29">
        <v>153.21199999999999</v>
      </c>
      <c r="W29">
        <v>135.68799999999999</v>
      </c>
      <c r="X29">
        <v>33.295999999999999</v>
      </c>
      <c r="Y29">
        <v>226.52500000000001</v>
      </c>
      <c r="Z29">
        <v>112.75700000000001</v>
      </c>
      <c r="AA29">
        <v>-3.1</v>
      </c>
      <c r="AC29">
        <v>1900</v>
      </c>
      <c r="AD29">
        <v>20.827000000000002</v>
      </c>
      <c r="AE29">
        <v>200.179</v>
      </c>
      <c r="AF29">
        <v>182.47900000000001</v>
      </c>
      <c r="AG29">
        <v>33.630000000000003</v>
      </c>
      <c r="AH29">
        <v>255.09700000000001</v>
      </c>
      <c r="AI29">
        <v>128.23400000000001</v>
      </c>
      <c r="AJ29">
        <v>-3.5249999999999999</v>
      </c>
      <c r="AL29">
        <v>1900</v>
      </c>
      <c r="AM29">
        <v>34.369</v>
      </c>
      <c r="AN29">
        <v>240.55699999999999</v>
      </c>
      <c r="AO29">
        <v>214.078</v>
      </c>
      <c r="AP29">
        <v>50.31</v>
      </c>
      <c r="AQ29">
        <v>36.819000000000003</v>
      </c>
      <c r="AR29">
        <v>10.574999999999999</v>
      </c>
      <c r="AS29">
        <v>-0.29099999999999998</v>
      </c>
      <c r="AU29">
        <v>1900</v>
      </c>
      <c r="AV29">
        <v>37.51</v>
      </c>
      <c r="AW29">
        <v>266.81799999999998</v>
      </c>
      <c r="AX29">
        <v>237.65299999999999</v>
      </c>
      <c r="AY29">
        <v>55.412999999999997</v>
      </c>
      <c r="AZ29">
        <v>0</v>
      </c>
      <c r="BA29">
        <v>0</v>
      </c>
      <c r="BB29">
        <v>0</v>
      </c>
      <c r="BD29">
        <v>1900</v>
      </c>
      <c r="BE29">
        <v>33.917000000000002</v>
      </c>
      <c r="BF29">
        <v>186.66900000000001</v>
      </c>
      <c r="BG29">
        <v>160.595</v>
      </c>
      <c r="BH29">
        <v>49.540999999999997</v>
      </c>
      <c r="BI29">
        <v>0</v>
      </c>
      <c r="BJ29">
        <v>0</v>
      </c>
      <c r="BK29">
        <v>0</v>
      </c>
      <c r="BM29">
        <v>1900</v>
      </c>
      <c r="BN29">
        <v>35.795999999999999</v>
      </c>
      <c r="BO29">
        <v>250.23400000000001</v>
      </c>
      <c r="BP29">
        <v>222.577</v>
      </c>
      <c r="BQ29">
        <v>52.548000000000002</v>
      </c>
      <c r="BR29">
        <v>0</v>
      </c>
      <c r="BS29">
        <v>0</v>
      </c>
      <c r="BT29">
        <v>0</v>
      </c>
    </row>
    <row r="30" spans="2:72" x14ac:dyDescent="0.25">
      <c r="B30">
        <v>2300</v>
      </c>
      <c r="C30">
        <v>52.947000000000003</v>
      </c>
      <c r="D30">
        <v>272.048</v>
      </c>
      <c r="E30">
        <v>233.60400000000001</v>
      </c>
      <c r="F30">
        <v>88.421000000000006</v>
      </c>
      <c r="G30">
        <v>-252.09200000000001</v>
      </c>
      <c r="H30">
        <v>-118.08199999999999</v>
      </c>
      <c r="I30">
        <v>2.6819999999999999</v>
      </c>
      <c r="K30">
        <v>2000</v>
      </c>
      <c r="L30">
        <v>36.646999999999998</v>
      </c>
      <c r="M30">
        <v>273.12799999999999</v>
      </c>
      <c r="N30">
        <v>244.19900000000001</v>
      </c>
      <c r="O30">
        <v>57.859000000000002</v>
      </c>
      <c r="P30">
        <v>90.494</v>
      </c>
      <c r="Q30">
        <v>65.06</v>
      </c>
      <c r="R30">
        <v>-1.6990000000000001</v>
      </c>
      <c r="T30">
        <v>2000</v>
      </c>
      <c r="U30">
        <v>20.786000000000001</v>
      </c>
      <c r="V30">
        <v>154.27799999999999</v>
      </c>
      <c r="W30">
        <v>136.59100000000001</v>
      </c>
      <c r="X30">
        <v>35.375</v>
      </c>
      <c r="Y30">
        <v>226.898</v>
      </c>
      <c r="Z30">
        <v>106.76</v>
      </c>
      <c r="AA30">
        <v>-2.7879999999999998</v>
      </c>
      <c r="AC30">
        <v>2000</v>
      </c>
      <c r="AD30">
        <v>20.826000000000001</v>
      </c>
      <c r="AE30">
        <v>201.24700000000001</v>
      </c>
      <c r="AF30">
        <v>183.39099999999999</v>
      </c>
      <c r="AG30">
        <v>35.713000000000001</v>
      </c>
      <c r="AH30">
        <v>255.29900000000001</v>
      </c>
      <c r="AI30">
        <v>121.55200000000001</v>
      </c>
      <c r="AJ30">
        <v>-3.1749999999999998</v>
      </c>
      <c r="AL30">
        <v>2000</v>
      </c>
      <c r="AM30">
        <v>34.67</v>
      </c>
      <c r="AN30">
        <v>242.327</v>
      </c>
      <c r="AO30">
        <v>215.446</v>
      </c>
      <c r="AP30">
        <v>53.762</v>
      </c>
      <c r="AQ30">
        <v>36.685000000000002</v>
      </c>
      <c r="AR30">
        <v>9.1969999999999992</v>
      </c>
      <c r="AS30">
        <v>-0.24</v>
      </c>
      <c r="AU30">
        <v>2000</v>
      </c>
      <c r="AV30">
        <v>37.741</v>
      </c>
      <c r="AW30">
        <v>268.74799999999999</v>
      </c>
      <c r="AX30">
        <v>239.16</v>
      </c>
      <c r="AY30">
        <v>59.174999999999997</v>
      </c>
      <c r="AZ30">
        <v>0</v>
      </c>
      <c r="BA30">
        <v>0</v>
      </c>
      <c r="BB30">
        <v>0</v>
      </c>
      <c r="BD30">
        <v>2000</v>
      </c>
      <c r="BE30">
        <v>34.28</v>
      </c>
      <c r="BF30">
        <v>188.41800000000001</v>
      </c>
      <c r="BG30">
        <v>161.94300000000001</v>
      </c>
      <c r="BH30">
        <v>52.951000000000001</v>
      </c>
      <c r="BI30">
        <v>0</v>
      </c>
      <c r="BJ30">
        <v>0</v>
      </c>
      <c r="BK30">
        <v>0</v>
      </c>
      <c r="BM30">
        <v>2000</v>
      </c>
      <c r="BN30">
        <v>35.970999999999997</v>
      </c>
      <c r="BO30">
        <v>252.07400000000001</v>
      </c>
      <c r="BP30">
        <v>224.006</v>
      </c>
      <c r="BQ30">
        <v>56.137</v>
      </c>
      <c r="BR30">
        <v>0</v>
      </c>
      <c r="BS30">
        <v>0</v>
      </c>
      <c r="BT30">
        <v>0</v>
      </c>
    </row>
    <row r="31" spans="2:72" x14ac:dyDescent="0.25">
      <c r="B31">
        <v>2400</v>
      </c>
      <c r="C31">
        <v>53.444000000000003</v>
      </c>
      <c r="D31">
        <v>274.31200000000001</v>
      </c>
      <c r="E31">
        <v>235.25299999999999</v>
      </c>
      <c r="F31">
        <v>93.741</v>
      </c>
      <c r="G31">
        <v>-252.239</v>
      </c>
      <c r="H31">
        <v>-112.252</v>
      </c>
      <c r="I31">
        <v>2.4430000000000001</v>
      </c>
      <c r="K31">
        <v>2100</v>
      </c>
      <c r="L31">
        <v>36.767000000000003</v>
      </c>
      <c r="M31">
        <v>274.91899999999998</v>
      </c>
      <c r="N31">
        <v>245.619</v>
      </c>
      <c r="O31">
        <v>61.53</v>
      </c>
      <c r="P31">
        <v>90.468999999999994</v>
      </c>
      <c r="Q31">
        <v>63.787999999999997</v>
      </c>
      <c r="R31">
        <v>-1.587</v>
      </c>
      <c r="T31">
        <v>2100</v>
      </c>
      <c r="U31">
        <v>20.786000000000001</v>
      </c>
      <c r="V31">
        <v>155.29300000000001</v>
      </c>
      <c r="W31">
        <v>137.458</v>
      </c>
      <c r="X31">
        <v>37.453000000000003</v>
      </c>
      <c r="Y31">
        <v>227.25399999999999</v>
      </c>
      <c r="Z31">
        <v>100.744</v>
      </c>
      <c r="AA31">
        <v>-2.5059999999999998</v>
      </c>
      <c r="AC31">
        <v>2100</v>
      </c>
      <c r="AD31">
        <v>20.827000000000002</v>
      </c>
      <c r="AE31">
        <v>202.26300000000001</v>
      </c>
      <c r="AF31">
        <v>184.26599999999999</v>
      </c>
      <c r="AG31">
        <v>37.795999999999999</v>
      </c>
      <c r="AH31">
        <v>255.488</v>
      </c>
      <c r="AI31">
        <v>114.86</v>
      </c>
      <c r="AJ31">
        <v>-2.8570000000000002</v>
      </c>
      <c r="AL31">
        <v>2100</v>
      </c>
      <c r="AM31">
        <v>34.950000000000003</v>
      </c>
      <c r="AN31">
        <v>244.02600000000001</v>
      </c>
      <c r="AO31">
        <v>216.767</v>
      </c>
      <c r="AP31">
        <v>57.243000000000002</v>
      </c>
      <c r="AQ31">
        <v>36.551000000000002</v>
      </c>
      <c r="AR31">
        <v>7.8259999999999996</v>
      </c>
      <c r="AS31">
        <v>-0.19500000000000001</v>
      </c>
      <c r="AU31">
        <v>2100</v>
      </c>
      <c r="AV31">
        <v>37.969000000000001</v>
      </c>
      <c r="AW31">
        <v>270.59500000000003</v>
      </c>
      <c r="AX31">
        <v>240.613</v>
      </c>
      <c r="AY31">
        <v>62.960999999999999</v>
      </c>
      <c r="AZ31">
        <v>0</v>
      </c>
      <c r="BA31">
        <v>0</v>
      </c>
      <c r="BB31">
        <v>0</v>
      </c>
      <c r="BD31">
        <v>2100</v>
      </c>
      <c r="BE31">
        <v>34.624000000000002</v>
      </c>
      <c r="BF31">
        <v>190.09899999999999</v>
      </c>
      <c r="BG31">
        <v>163.244</v>
      </c>
      <c r="BH31">
        <v>56.396999999999998</v>
      </c>
      <c r="BI31">
        <v>0</v>
      </c>
      <c r="BJ31">
        <v>0</v>
      </c>
      <c r="BK31">
        <v>0</v>
      </c>
      <c r="BM31">
        <v>2100</v>
      </c>
      <c r="BN31">
        <v>36.125999999999998</v>
      </c>
      <c r="BO31">
        <v>253.833</v>
      </c>
      <c r="BP31">
        <v>225.38499999999999</v>
      </c>
      <c r="BQ31">
        <v>59.741999999999997</v>
      </c>
      <c r="BR31">
        <v>0</v>
      </c>
      <c r="BS31">
        <v>0</v>
      </c>
      <c r="BT31">
        <v>0</v>
      </c>
    </row>
    <row r="32" spans="2:72" x14ac:dyDescent="0.25">
      <c r="B32">
        <v>2500</v>
      </c>
      <c r="C32">
        <v>53.904000000000003</v>
      </c>
      <c r="D32">
        <v>276.50299999999999</v>
      </c>
      <c r="E32">
        <v>236.86</v>
      </c>
      <c r="F32">
        <v>99.108000000000004</v>
      </c>
      <c r="G32">
        <v>-252.37899999999999</v>
      </c>
      <c r="H32">
        <v>-106.416</v>
      </c>
      <c r="I32">
        <v>2.2229999999999999</v>
      </c>
      <c r="K32">
        <v>2200</v>
      </c>
      <c r="L32">
        <v>36.874000000000002</v>
      </c>
      <c r="M32">
        <v>276.63200000000001</v>
      </c>
      <c r="N32">
        <v>246.99</v>
      </c>
      <c r="O32">
        <v>65.212000000000003</v>
      </c>
      <c r="P32">
        <v>90.438000000000002</v>
      </c>
      <c r="Q32">
        <v>62.518999999999998</v>
      </c>
      <c r="R32">
        <v>-1.484</v>
      </c>
      <c r="T32">
        <v>2200</v>
      </c>
      <c r="U32">
        <v>20.786000000000001</v>
      </c>
      <c r="V32">
        <v>156.26</v>
      </c>
      <c r="W32">
        <v>138.291</v>
      </c>
      <c r="X32">
        <v>39.531999999999996</v>
      </c>
      <c r="Y32">
        <v>227.59299999999999</v>
      </c>
      <c r="Z32">
        <v>94.712000000000003</v>
      </c>
      <c r="AA32">
        <v>-2.2490000000000001</v>
      </c>
      <c r="AC32">
        <v>2200</v>
      </c>
      <c r="AD32">
        <v>20.83</v>
      </c>
      <c r="AE32">
        <v>203.232</v>
      </c>
      <c r="AF32">
        <v>185.10599999999999</v>
      </c>
      <c r="AG32">
        <v>39.878</v>
      </c>
      <c r="AH32">
        <v>255.667</v>
      </c>
      <c r="AI32">
        <v>108.15900000000001</v>
      </c>
      <c r="AJ32">
        <v>-2.5680000000000001</v>
      </c>
      <c r="AL32">
        <v>2200</v>
      </c>
      <c r="AM32">
        <v>35.209000000000003</v>
      </c>
      <c r="AN32">
        <v>245.65799999999999</v>
      </c>
      <c r="AO32">
        <v>218.04300000000001</v>
      </c>
      <c r="AP32">
        <v>60.752000000000002</v>
      </c>
      <c r="AQ32">
        <v>36.415999999999997</v>
      </c>
      <c r="AR32">
        <v>6.4619999999999997</v>
      </c>
      <c r="AS32">
        <v>-0.153</v>
      </c>
      <c r="AU32">
        <v>2200</v>
      </c>
      <c r="AV32">
        <v>38.195</v>
      </c>
      <c r="AW32">
        <v>272.36599999999999</v>
      </c>
      <c r="AX32">
        <v>242.017</v>
      </c>
      <c r="AY32">
        <v>66.769000000000005</v>
      </c>
      <c r="AZ32">
        <v>0</v>
      </c>
      <c r="BA32">
        <v>0</v>
      </c>
      <c r="BB32">
        <v>0</v>
      </c>
      <c r="BD32">
        <v>2200</v>
      </c>
      <c r="BE32">
        <v>34.951999999999998</v>
      </c>
      <c r="BF32">
        <v>191.71799999999999</v>
      </c>
      <c r="BG32">
        <v>164.501</v>
      </c>
      <c r="BH32">
        <v>59.875999999999998</v>
      </c>
      <c r="BI32">
        <v>0</v>
      </c>
      <c r="BJ32">
        <v>0</v>
      </c>
      <c r="BK32">
        <v>0</v>
      </c>
      <c r="BM32">
        <v>2200</v>
      </c>
      <c r="BN32">
        <v>36.268000000000001</v>
      </c>
      <c r="BO32">
        <v>255.517</v>
      </c>
      <c r="BP32">
        <v>226.71700000000001</v>
      </c>
      <c r="BQ32">
        <v>63.360999999999997</v>
      </c>
      <c r="BR32">
        <v>0</v>
      </c>
      <c r="BS32">
        <v>0</v>
      </c>
      <c r="BT32">
        <v>0</v>
      </c>
    </row>
    <row r="33" spans="2:72" x14ac:dyDescent="0.25">
      <c r="B33">
        <v>2600</v>
      </c>
      <c r="C33">
        <v>54.329000000000001</v>
      </c>
      <c r="D33">
        <v>278.625</v>
      </c>
      <c r="E33">
        <v>238.42500000000001</v>
      </c>
      <c r="F33">
        <v>104.52</v>
      </c>
      <c r="G33">
        <v>-252.51300000000001</v>
      </c>
      <c r="H33">
        <v>-100.575</v>
      </c>
      <c r="I33">
        <v>2.0209999999999999</v>
      </c>
      <c r="K33">
        <v>2300</v>
      </c>
      <c r="L33">
        <v>36.970999999999997</v>
      </c>
      <c r="M33">
        <v>278.27300000000002</v>
      </c>
      <c r="N33">
        <v>248.315</v>
      </c>
      <c r="O33">
        <v>68.903999999999996</v>
      </c>
      <c r="P33">
        <v>90.397999999999996</v>
      </c>
      <c r="Q33">
        <v>61.250999999999998</v>
      </c>
      <c r="R33">
        <v>-1.391</v>
      </c>
      <c r="T33">
        <v>2300</v>
      </c>
      <c r="U33">
        <v>20.786000000000001</v>
      </c>
      <c r="V33">
        <v>157.184</v>
      </c>
      <c r="W33">
        <v>139.09200000000001</v>
      </c>
      <c r="X33">
        <v>41.61</v>
      </c>
      <c r="Y33">
        <v>227.916</v>
      </c>
      <c r="Z33">
        <v>88.664000000000001</v>
      </c>
      <c r="AA33">
        <v>-2.0139999999999998</v>
      </c>
      <c r="AC33">
        <v>2300</v>
      </c>
      <c r="AD33">
        <v>20.835000000000001</v>
      </c>
      <c r="AE33">
        <v>204.15799999999999</v>
      </c>
      <c r="AF33">
        <v>185.91399999999999</v>
      </c>
      <c r="AG33">
        <v>41.962000000000003</v>
      </c>
      <c r="AH33">
        <v>255.83500000000001</v>
      </c>
      <c r="AI33">
        <v>101.45</v>
      </c>
      <c r="AJ33">
        <v>-2.3039999999999998</v>
      </c>
      <c r="AL33">
        <v>2300</v>
      </c>
      <c r="AM33">
        <v>35.448999999999998</v>
      </c>
      <c r="AN33">
        <v>247.22800000000001</v>
      </c>
      <c r="AO33">
        <v>219.27799999999999</v>
      </c>
      <c r="AP33">
        <v>64.284999999999997</v>
      </c>
      <c r="AQ33">
        <v>36.277999999999999</v>
      </c>
      <c r="AR33">
        <v>5.1029999999999998</v>
      </c>
      <c r="AS33">
        <v>-0.11600000000000001</v>
      </c>
      <c r="AU33">
        <v>2300</v>
      </c>
      <c r="AV33">
        <v>38.418999999999997</v>
      </c>
      <c r="AW33">
        <v>274.06900000000002</v>
      </c>
      <c r="AX33">
        <v>243.374</v>
      </c>
      <c r="AY33">
        <v>70.599999999999994</v>
      </c>
      <c r="AZ33">
        <v>0</v>
      </c>
      <c r="BA33">
        <v>0</v>
      </c>
      <c r="BB33">
        <v>0</v>
      </c>
      <c r="BD33">
        <v>2300</v>
      </c>
      <c r="BE33">
        <v>35.262999999999998</v>
      </c>
      <c r="BF33">
        <v>193.27799999999999</v>
      </c>
      <c r="BG33">
        <v>165.71899999999999</v>
      </c>
      <c r="BH33">
        <v>63.387</v>
      </c>
      <c r="BI33">
        <v>0</v>
      </c>
      <c r="BJ33">
        <v>0</v>
      </c>
      <c r="BK33">
        <v>0</v>
      </c>
      <c r="BM33">
        <v>2300</v>
      </c>
      <c r="BN33">
        <v>36.395000000000003</v>
      </c>
      <c r="BO33">
        <v>257.13200000000001</v>
      </c>
      <c r="BP33">
        <v>228.00399999999999</v>
      </c>
      <c r="BQ33">
        <v>66.995000000000005</v>
      </c>
      <c r="BR33">
        <v>0</v>
      </c>
      <c r="BS33">
        <v>0</v>
      </c>
      <c r="BT33">
        <v>0</v>
      </c>
    </row>
    <row r="34" spans="2:72" x14ac:dyDescent="0.25">
      <c r="B34">
        <v>2700</v>
      </c>
      <c r="C34">
        <v>54.722999999999999</v>
      </c>
      <c r="D34">
        <v>280.68299999999999</v>
      </c>
      <c r="E34">
        <v>239.952</v>
      </c>
      <c r="F34">
        <v>109.973</v>
      </c>
      <c r="G34">
        <v>-252.643</v>
      </c>
      <c r="H34">
        <v>-94.728999999999999</v>
      </c>
      <c r="I34">
        <v>1.833</v>
      </c>
      <c r="K34">
        <v>2400</v>
      </c>
      <c r="L34">
        <v>37.06</v>
      </c>
      <c r="M34">
        <v>279.84899999999999</v>
      </c>
      <c r="N34">
        <v>249.596</v>
      </c>
      <c r="O34">
        <v>72.605999999999995</v>
      </c>
      <c r="P34">
        <v>90.35</v>
      </c>
      <c r="Q34">
        <v>59.984000000000002</v>
      </c>
      <c r="R34">
        <v>-1.306</v>
      </c>
      <c r="T34">
        <v>2400</v>
      </c>
      <c r="U34">
        <v>20.786000000000001</v>
      </c>
      <c r="V34">
        <v>158.06800000000001</v>
      </c>
      <c r="W34">
        <v>139.864</v>
      </c>
      <c r="X34">
        <v>43.689</v>
      </c>
      <c r="Y34">
        <v>228.22399999999999</v>
      </c>
      <c r="Z34">
        <v>82.602999999999994</v>
      </c>
      <c r="AA34">
        <v>-1.798</v>
      </c>
      <c r="AC34">
        <v>2400</v>
      </c>
      <c r="AD34">
        <v>20.841000000000001</v>
      </c>
      <c r="AE34">
        <v>205.04499999999999</v>
      </c>
      <c r="AF34">
        <v>186.69300000000001</v>
      </c>
      <c r="AG34">
        <v>44.045000000000002</v>
      </c>
      <c r="AH34">
        <v>255.99199999999999</v>
      </c>
      <c r="AI34">
        <v>94.733999999999995</v>
      </c>
      <c r="AJ34">
        <v>-2.0619999999999998</v>
      </c>
      <c r="AL34">
        <v>2400</v>
      </c>
      <c r="AM34">
        <v>35.673000000000002</v>
      </c>
      <c r="AN34">
        <v>248.74100000000001</v>
      </c>
      <c r="AO34">
        <v>220.47399999999999</v>
      </c>
      <c r="AP34">
        <v>67.840999999999994</v>
      </c>
      <c r="AQ34">
        <v>36.137</v>
      </c>
      <c r="AR34">
        <v>3.75</v>
      </c>
      <c r="AS34">
        <v>-8.2000000000000003E-2</v>
      </c>
      <c r="AU34">
        <v>2400</v>
      </c>
      <c r="AV34">
        <v>38.639000000000003</v>
      </c>
      <c r="AW34">
        <v>275.709</v>
      </c>
      <c r="AX34">
        <v>244.68700000000001</v>
      </c>
      <c r="AY34">
        <v>74.453000000000003</v>
      </c>
      <c r="AZ34">
        <v>0</v>
      </c>
      <c r="BA34">
        <v>0</v>
      </c>
      <c r="BB34">
        <v>0</v>
      </c>
      <c r="BD34">
        <v>2400</v>
      </c>
      <c r="BE34">
        <v>35.558999999999997</v>
      </c>
      <c r="BF34">
        <v>194.785</v>
      </c>
      <c r="BG34">
        <v>166.899</v>
      </c>
      <c r="BH34">
        <v>66.927999999999997</v>
      </c>
      <c r="BI34">
        <v>0</v>
      </c>
      <c r="BJ34">
        <v>0</v>
      </c>
      <c r="BK34">
        <v>0</v>
      </c>
      <c r="BM34">
        <v>2400</v>
      </c>
      <c r="BN34">
        <v>36.511000000000003</v>
      </c>
      <c r="BO34">
        <v>258.68400000000003</v>
      </c>
      <c r="BP34">
        <v>229.25</v>
      </c>
      <c r="BQ34">
        <v>70.64</v>
      </c>
      <c r="BR34">
        <v>0</v>
      </c>
      <c r="BS34">
        <v>0</v>
      </c>
      <c r="BT34">
        <v>0</v>
      </c>
    </row>
    <row r="35" spans="2:72" x14ac:dyDescent="0.25">
      <c r="B35">
        <v>2800</v>
      </c>
      <c r="C35">
        <v>55.088999999999999</v>
      </c>
      <c r="D35">
        <v>282.68</v>
      </c>
      <c r="E35">
        <v>241.44300000000001</v>
      </c>
      <c r="F35">
        <v>115.464</v>
      </c>
      <c r="G35">
        <v>-252.77099999999999</v>
      </c>
      <c r="H35">
        <v>-88.878</v>
      </c>
      <c r="I35">
        <v>1.6579999999999999</v>
      </c>
      <c r="K35">
        <v>2500</v>
      </c>
      <c r="L35">
        <v>37.140999999999998</v>
      </c>
      <c r="M35">
        <v>281.363</v>
      </c>
      <c r="N35">
        <v>250.83699999999999</v>
      </c>
      <c r="O35">
        <v>76.316000000000003</v>
      </c>
      <c r="P35">
        <v>90.295000000000002</v>
      </c>
      <c r="Q35">
        <v>58.72</v>
      </c>
      <c r="R35">
        <v>-1.2270000000000001</v>
      </c>
      <c r="T35">
        <v>2500</v>
      </c>
      <c r="U35">
        <v>20.786000000000001</v>
      </c>
      <c r="V35">
        <v>158.917</v>
      </c>
      <c r="W35">
        <v>140.61000000000001</v>
      </c>
      <c r="X35">
        <v>45.768000000000001</v>
      </c>
      <c r="Y35">
        <v>228.518</v>
      </c>
      <c r="Z35">
        <v>76.53</v>
      </c>
      <c r="AA35">
        <v>-1.599</v>
      </c>
      <c r="AC35">
        <v>2500</v>
      </c>
      <c r="AD35">
        <v>20.850999999999999</v>
      </c>
      <c r="AE35">
        <v>205.89599999999999</v>
      </c>
      <c r="AF35">
        <v>187.44399999999999</v>
      </c>
      <c r="AG35">
        <v>46.13</v>
      </c>
      <c r="AH35">
        <v>256.13900000000001</v>
      </c>
      <c r="AI35">
        <v>88.012</v>
      </c>
      <c r="AJ35">
        <v>-1.839</v>
      </c>
      <c r="AL35">
        <v>2500</v>
      </c>
      <c r="AM35">
        <v>35.881</v>
      </c>
      <c r="AN35">
        <v>250.202</v>
      </c>
      <c r="AO35">
        <v>221.63499999999999</v>
      </c>
      <c r="AP35">
        <v>71.418999999999997</v>
      </c>
      <c r="AQ35">
        <v>35.991999999999997</v>
      </c>
      <c r="AR35">
        <v>2.4039999999999999</v>
      </c>
      <c r="AS35">
        <v>-0.05</v>
      </c>
      <c r="AU35">
        <v>2500</v>
      </c>
      <c r="AV35">
        <v>38.856000000000002</v>
      </c>
      <c r="AW35">
        <v>277.29000000000002</v>
      </c>
      <c r="AX35">
        <v>245.959</v>
      </c>
      <c r="AY35">
        <v>78.328000000000003</v>
      </c>
      <c r="AZ35">
        <v>0</v>
      </c>
      <c r="BA35">
        <v>0</v>
      </c>
      <c r="BB35">
        <v>0</v>
      </c>
      <c r="BD35">
        <v>2500</v>
      </c>
      <c r="BE35">
        <v>35.841999999999999</v>
      </c>
      <c r="BF35">
        <v>196.24299999999999</v>
      </c>
      <c r="BG35">
        <v>168.04400000000001</v>
      </c>
      <c r="BH35">
        <v>70.498000000000005</v>
      </c>
      <c r="BI35">
        <v>0</v>
      </c>
      <c r="BJ35">
        <v>0</v>
      </c>
      <c r="BK35">
        <v>0</v>
      </c>
      <c r="BM35">
        <v>2500</v>
      </c>
      <c r="BN35">
        <v>36.616</v>
      </c>
      <c r="BO35">
        <v>260.17599999999999</v>
      </c>
      <c r="BP35">
        <v>230.458</v>
      </c>
      <c r="BQ35">
        <v>74.296000000000006</v>
      </c>
      <c r="BR35">
        <v>0</v>
      </c>
      <c r="BS35">
        <v>0</v>
      </c>
      <c r="BT35">
        <v>0</v>
      </c>
    </row>
    <row r="36" spans="2:72" x14ac:dyDescent="0.25">
      <c r="B36">
        <v>2900</v>
      </c>
      <c r="C36">
        <v>55.43</v>
      </c>
      <c r="D36">
        <v>284.61900000000003</v>
      </c>
      <c r="E36">
        <v>242.899</v>
      </c>
      <c r="F36">
        <v>120.99</v>
      </c>
      <c r="G36">
        <v>-252.89699999999999</v>
      </c>
      <c r="H36">
        <v>-83.022999999999996</v>
      </c>
      <c r="I36">
        <v>1.4950000000000001</v>
      </c>
      <c r="K36">
        <v>2600</v>
      </c>
      <c r="L36">
        <v>37.216000000000001</v>
      </c>
      <c r="M36">
        <v>282.822</v>
      </c>
      <c r="N36">
        <v>252.03899999999999</v>
      </c>
      <c r="O36">
        <v>80.034000000000006</v>
      </c>
      <c r="P36">
        <v>90.230999999999995</v>
      </c>
      <c r="Q36">
        <v>57.457999999999998</v>
      </c>
      <c r="R36">
        <v>-1.1539999999999999</v>
      </c>
      <c r="T36">
        <v>2600</v>
      </c>
      <c r="U36">
        <v>20.786000000000001</v>
      </c>
      <c r="V36">
        <v>159.732</v>
      </c>
      <c r="W36">
        <v>141.33000000000001</v>
      </c>
      <c r="X36">
        <v>47.845999999999997</v>
      </c>
      <c r="Y36">
        <v>228.798</v>
      </c>
      <c r="Z36">
        <v>70.444000000000003</v>
      </c>
      <c r="AA36">
        <v>-1.415</v>
      </c>
      <c r="AC36">
        <v>2600</v>
      </c>
      <c r="AD36">
        <v>20.861999999999998</v>
      </c>
      <c r="AE36">
        <v>206.714</v>
      </c>
      <c r="AF36">
        <v>188.17</v>
      </c>
      <c r="AG36">
        <v>48.216000000000001</v>
      </c>
      <c r="AH36">
        <v>256.27699999999999</v>
      </c>
      <c r="AI36">
        <v>81.284000000000006</v>
      </c>
      <c r="AJ36">
        <v>-1.633</v>
      </c>
      <c r="AL36">
        <v>2600</v>
      </c>
      <c r="AM36">
        <v>36.075000000000003</v>
      </c>
      <c r="AN36">
        <v>251.613</v>
      </c>
      <c r="AO36">
        <v>222.761</v>
      </c>
      <c r="AP36">
        <v>75.016999999999996</v>
      </c>
      <c r="AQ36">
        <v>35.843000000000004</v>
      </c>
      <c r="AR36">
        <v>1.0629999999999999</v>
      </c>
      <c r="AS36">
        <v>-2.1000000000000001E-2</v>
      </c>
      <c r="AU36">
        <v>2600</v>
      </c>
      <c r="AV36">
        <v>39.067999999999998</v>
      </c>
      <c r="AW36">
        <v>278.81900000000002</v>
      </c>
      <c r="AX36">
        <v>247.19399999999999</v>
      </c>
      <c r="AY36">
        <v>82.224000000000004</v>
      </c>
      <c r="AZ36">
        <v>0</v>
      </c>
      <c r="BA36">
        <v>0</v>
      </c>
      <c r="BB36">
        <v>0</v>
      </c>
      <c r="BD36">
        <v>2600</v>
      </c>
      <c r="BE36">
        <v>36.110999999999997</v>
      </c>
      <c r="BF36">
        <v>197.654</v>
      </c>
      <c r="BG36">
        <v>169.155</v>
      </c>
      <c r="BH36">
        <v>74.096000000000004</v>
      </c>
      <c r="BI36">
        <v>0</v>
      </c>
      <c r="BJ36">
        <v>0</v>
      </c>
      <c r="BK36">
        <v>0</v>
      </c>
      <c r="BM36">
        <v>2600</v>
      </c>
      <c r="BN36">
        <v>36.713000000000001</v>
      </c>
      <c r="BO36">
        <v>261.61399999999998</v>
      </c>
      <c r="BP36">
        <v>231.62899999999999</v>
      </c>
      <c r="BQ36">
        <v>77.962999999999994</v>
      </c>
      <c r="BR36">
        <v>0</v>
      </c>
      <c r="BS36">
        <v>0</v>
      </c>
      <c r="BT36">
        <v>0</v>
      </c>
    </row>
    <row r="37" spans="2:72" x14ac:dyDescent="0.25">
      <c r="B37">
        <v>3000</v>
      </c>
      <c r="C37">
        <v>55.747999999999998</v>
      </c>
      <c r="D37">
        <v>286.50400000000002</v>
      </c>
      <c r="E37">
        <v>244.321</v>
      </c>
      <c r="F37">
        <v>126.54900000000001</v>
      </c>
      <c r="G37">
        <v>-253.024</v>
      </c>
      <c r="H37">
        <v>-77.162999999999997</v>
      </c>
      <c r="I37">
        <v>1.3440000000000001</v>
      </c>
      <c r="K37">
        <v>2700</v>
      </c>
      <c r="L37">
        <v>37.284999999999997</v>
      </c>
      <c r="M37">
        <v>284.22699999999998</v>
      </c>
      <c r="N37">
        <v>253.20500000000001</v>
      </c>
      <c r="O37">
        <v>83.759</v>
      </c>
      <c r="P37">
        <v>90.16</v>
      </c>
      <c r="Q37">
        <v>56.198999999999998</v>
      </c>
      <c r="R37">
        <v>-1.087</v>
      </c>
      <c r="T37">
        <v>2700</v>
      </c>
      <c r="U37">
        <v>20.786000000000001</v>
      </c>
      <c r="V37">
        <v>160.51599999999999</v>
      </c>
      <c r="W37">
        <v>142.02600000000001</v>
      </c>
      <c r="X37">
        <v>49.924999999999997</v>
      </c>
      <c r="Y37">
        <v>229.06399999999999</v>
      </c>
      <c r="Z37">
        <v>64.349000000000004</v>
      </c>
      <c r="AA37">
        <v>-1.2450000000000001</v>
      </c>
      <c r="AC37">
        <v>2700</v>
      </c>
      <c r="AD37">
        <v>20.876999999999999</v>
      </c>
      <c r="AE37">
        <v>207.50200000000001</v>
      </c>
      <c r="AF37">
        <v>188.87100000000001</v>
      </c>
      <c r="AG37">
        <v>50.302999999999997</v>
      </c>
      <c r="AH37">
        <v>256.40499999999997</v>
      </c>
      <c r="AI37">
        <v>74.551000000000002</v>
      </c>
      <c r="AJ37">
        <v>-1.4419999999999999</v>
      </c>
      <c r="AL37">
        <v>2700</v>
      </c>
      <c r="AM37">
        <v>36.256</v>
      </c>
      <c r="AN37">
        <v>252.97800000000001</v>
      </c>
      <c r="AO37">
        <v>223.85499999999999</v>
      </c>
      <c r="AP37">
        <v>78.632999999999996</v>
      </c>
      <c r="AQ37">
        <v>35.689</v>
      </c>
      <c r="AR37">
        <v>-0.27100000000000002</v>
      </c>
      <c r="AS37">
        <v>5.0000000000000001E-3</v>
      </c>
      <c r="AU37">
        <v>2700</v>
      </c>
      <c r="AV37">
        <v>39.276000000000003</v>
      </c>
      <c r="AW37">
        <v>280.29700000000003</v>
      </c>
      <c r="AX37">
        <v>248.393</v>
      </c>
      <c r="AY37">
        <v>86.141000000000005</v>
      </c>
      <c r="AZ37">
        <v>0</v>
      </c>
      <c r="BA37">
        <v>0</v>
      </c>
      <c r="BB37">
        <v>0</v>
      </c>
      <c r="BD37">
        <v>2700</v>
      </c>
      <c r="BE37">
        <v>36.369999999999997</v>
      </c>
      <c r="BF37">
        <v>199.02099999999999</v>
      </c>
      <c r="BG37">
        <v>170.23599999999999</v>
      </c>
      <c r="BH37">
        <v>77.72</v>
      </c>
      <c r="BI37">
        <v>0</v>
      </c>
      <c r="BJ37">
        <v>0</v>
      </c>
      <c r="BK37">
        <v>0</v>
      </c>
      <c r="BM37">
        <v>2700</v>
      </c>
      <c r="BN37">
        <v>36.801000000000002</v>
      </c>
      <c r="BO37">
        <v>263.00099999999998</v>
      </c>
      <c r="BP37">
        <v>232.76499999999999</v>
      </c>
      <c r="BQ37">
        <v>81.638999999999996</v>
      </c>
      <c r="BR37">
        <v>0</v>
      </c>
      <c r="BS37">
        <v>0</v>
      </c>
      <c r="BT37">
        <v>0</v>
      </c>
    </row>
    <row r="38" spans="2:72" x14ac:dyDescent="0.25">
      <c r="B38">
        <v>3100</v>
      </c>
      <c r="C38">
        <v>56.043999999999997</v>
      </c>
      <c r="D38">
        <v>288.33699999999999</v>
      </c>
      <c r="E38">
        <v>245.71100000000001</v>
      </c>
      <c r="F38">
        <v>132.13900000000001</v>
      </c>
      <c r="G38">
        <v>-253.15199999999999</v>
      </c>
      <c r="H38">
        <v>-71.298000000000002</v>
      </c>
      <c r="I38">
        <v>1.2010000000000001</v>
      </c>
      <c r="K38">
        <v>2800</v>
      </c>
      <c r="L38">
        <v>37.35</v>
      </c>
      <c r="M38">
        <v>285.58499999999998</v>
      </c>
      <c r="N38">
        <v>254.33799999999999</v>
      </c>
      <c r="O38">
        <v>87.491</v>
      </c>
      <c r="P38">
        <v>90.081000000000003</v>
      </c>
      <c r="Q38">
        <v>54.942999999999998</v>
      </c>
      <c r="R38">
        <v>-1.0249999999999999</v>
      </c>
      <c r="T38">
        <v>2800</v>
      </c>
      <c r="U38">
        <v>20.786000000000001</v>
      </c>
      <c r="V38">
        <v>161.27199999999999</v>
      </c>
      <c r="W38">
        <v>142.69999999999999</v>
      </c>
      <c r="X38">
        <v>52.003999999999998</v>
      </c>
      <c r="Y38">
        <v>229.31800000000001</v>
      </c>
      <c r="Z38">
        <v>58.243000000000002</v>
      </c>
      <c r="AA38">
        <v>-1.087</v>
      </c>
      <c r="AC38">
        <v>2800</v>
      </c>
      <c r="AD38">
        <v>20.893999999999998</v>
      </c>
      <c r="AE38">
        <v>208.261</v>
      </c>
      <c r="AF38">
        <v>189.55</v>
      </c>
      <c r="AG38">
        <v>52.390999999999998</v>
      </c>
      <c r="AH38">
        <v>256.52499999999998</v>
      </c>
      <c r="AI38">
        <v>67.813999999999993</v>
      </c>
      <c r="AJ38">
        <v>-1.2649999999999999</v>
      </c>
      <c r="AL38">
        <v>2800</v>
      </c>
      <c r="AM38">
        <v>36.426000000000002</v>
      </c>
      <c r="AN38">
        <v>254.3</v>
      </c>
      <c r="AO38">
        <v>224.91800000000001</v>
      </c>
      <c r="AP38">
        <v>82.266999999999996</v>
      </c>
      <c r="AQ38">
        <v>35.53</v>
      </c>
      <c r="AR38">
        <v>-1.6</v>
      </c>
      <c r="AS38">
        <v>0.03</v>
      </c>
      <c r="AU38">
        <v>2800</v>
      </c>
      <c r="AV38">
        <v>39.478000000000002</v>
      </c>
      <c r="AW38">
        <v>281.72899999999998</v>
      </c>
      <c r="AX38">
        <v>249.55799999999999</v>
      </c>
      <c r="AY38">
        <v>90.078999999999994</v>
      </c>
      <c r="AZ38">
        <v>0</v>
      </c>
      <c r="BA38">
        <v>0</v>
      </c>
      <c r="BB38">
        <v>0</v>
      </c>
      <c r="BD38">
        <v>2800</v>
      </c>
      <c r="BE38">
        <v>36.618000000000002</v>
      </c>
      <c r="BF38">
        <v>200.34899999999999</v>
      </c>
      <c r="BG38">
        <v>171.28800000000001</v>
      </c>
      <c r="BH38">
        <v>81.369</v>
      </c>
      <c r="BI38">
        <v>0</v>
      </c>
      <c r="BJ38">
        <v>0</v>
      </c>
      <c r="BK38">
        <v>0</v>
      </c>
      <c r="BM38">
        <v>2800</v>
      </c>
      <c r="BN38">
        <v>36.883000000000003</v>
      </c>
      <c r="BO38">
        <v>264.34100000000001</v>
      </c>
      <c r="BP38">
        <v>233.869</v>
      </c>
      <c r="BQ38">
        <v>85.322999999999993</v>
      </c>
      <c r="BR38">
        <v>0</v>
      </c>
      <c r="BS38">
        <v>0</v>
      </c>
      <c r="BT38">
        <v>0</v>
      </c>
    </row>
    <row r="39" spans="2:72" x14ac:dyDescent="0.25">
      <c r="B39">
        <v>3200</v>
      </c>
      <c r="C39">
        <v>56.323</v>
      </c>
      <c r="D39">
        <v>290.12</v>
      </c>
      <c r="E39">
        <v>247.071</v>
      </c>
      <c r="F39">
        <v>137.75700000000001</v>
      </c>
      <c r="G39">
        <v>-253.28200000000001</v>
      </c>
      <c r="H39">
        <v>-65.430000000000007</v>
      </c>
      <c r="I39">
        <v>1.0680000000000001</v>
      </c>
      <c r="K39">
        <v>2900</v>
      </c>
      <c r="L39">
        <v>37.409999999999997</v>
      </c>
      <c r="M39">
        <v>286.89600000000002</v>
      </c>
      <c r="N39">
        <v>255.43799999999999</v>
      </c>
      <c r="O39">
        <v>91.228999999999999</v>
      </c>
      <c r="P39">
        <v>89.994</v>
      </c>
      <c r="Q39">
        <v>53.689</v>
      </c>
      <c r="R39">
        <v>-0.96699999999999997</v>
      </c>
      <c r="T39">
        <v>2900</v>
      </c>
      <c r="U39">
        <v>20.786000000000001</v>
      </c>
      <c r="V39">
        <v>162.00200000000001</v>
      </c>
      <c r="W39">
        <v>143.35300000000001</v>
      </c>
      <c r="X39">
        <v>54.082000000000001</v>
      </c>
      <c r="Y39">
        <v>229.56</v>
      </c>
      <c r="Z39">
        <v>52.128999999999998</v>
      </c>
      <c r="AA39">
        <v>-0.93899999999999995</v>
      </c>
      <c r="AC39">
        <v>2900</v>
      </c>
      <c r="AD39">
        <v>20.914000000000001</v>
      </c>
      <c r="AE39">
        <v>208.995</v>
      </c>
      <c r="AF39">
        <v>190.208</v>
      </c>
      <c r="AG39">
        <v>54.481000000000002</v>
      </c>
      <c r="AH39">
        <v>256.637</v>
      </c>
      <c r="AI39">
        <v>61.072000000000003</v>
      </c>
      <c r="AJ39">
        <v>-1.1000000000000001</v>
      </c>
      <c r="AL39">
        <v>2900</v>
      </c>
      <c r="AM39">
        <v>36.585999999999999</v>
      </c>
      <c r="AN39">
        <v>255.58099999999999</v>
      </c>
      <c r="AO39">
        <v>225.95400000000001</v>
      </c>
      <c r="AP39">
        <v>85.918000000000006</v>
      </c>
      <c r="AQ39">
        <v>35.365000000000002</v>
      </c>
      <c r="AR39">
        <v>-2.9239999999999999</v>
      </c>
      <c r="AS39">
        <v>5.2999999999999999E-2</v>
      </c>
      <c r="AU39">
        <v>2900</v>
      </c>
      <c r="AV39">
        <v>39.673999999999999</v>
      </c>
      <c r="AW39">
        <v>283.11799999999999</v>
      </c>
      <c r="AX39">
        <v>250.691</v>
      </c>
      <c r="AY39">
        <v>94.036000000000001</v>
      </c>
      <c r="AZ39">
        <v>0</v>
      </c>
      <c r="BA39">
        <v>0</v>
      </c>
      <c r="BB39">
        <v>0</v>
      </c>
      <c r="BD39">
        <v>2900</v>
      </c>
      <c r="BE39">
        <v>36.856000000000002</v>
      </c>
      <c r="BF39">
        <v>201.63800000000001</v>
      </c>
      <c r="BG39">
        <v>172.31299999999999</v>
      </c>
      <c r="BH39">
        <v>85.043000000000006</v>
      </c>
      <c r="BI39">
        <v>0</v>
      </c>
      <c r="BJ39">
        <v>0</v>
      </c>
      <c r="BK39">
        <v>0</v>
      </c>
      <c r="BM39">
        <v>2900</v>
      </c>
      <c r="BN39">
        <v>36.959000000000003</v>
      </c>
      <c r="BO39">
        <v>265.637</v>
      </c>
      <c r="BP39">
        <v>234.94200000000001</v>
      </c>
      <c r="BQ39">
        <v>89.015000000000001</v>
      </c>
      <c r="BR39">
        <v>0</v>
      </c>
      <c r="BS39">
        <v>0</v>
      </c>
      <c r="BT39">
        <v>0</v>
      </c>
    </row>
    <row r="40" spans="2:72" x14ac:dyDescent="0.25">
      <c r="B40">
        <v>3300</v>
      </c>
      <c r="C40">
        <v>56.582999999999998</v>
      </c>
      <c r="D40">
        <v>291.858</v>
      </c>
      <c r="E40">
        <v>248.40199999999999</v>
      </c>
      <c r="F40">
        <v>143.40299999999999</v>
      </c>
      <c r="G40">
        <v>-253.416</v>
      </c>
      <c r="H40">
        <v>-59.558</v>
      </c>
      <c r="I40">
        <v>0.94299999999999995</v>
      </c>
      <c r="K40">
        <v>3000</v>
      </c>
      <c r="L40">
        <v>37.466000000000001</v>
      </c>
      <c r="M40">
        <v>288.16500000000002</v>
      </c>
      <c r="N40">
        <v>256.50799999999998</v>
      </c>
      <c r="O40">
        <v>94.972999999999999</v>
      </c>
      <c r="P40">
        <v>89.899000000000001</v>
      </c>
      <c r="Q40">
        <v>52.439</v>
      </c>
      <c r="R40">
        <v>-0.91300000000000003</v>
      </c>
      <c r="T40">
        <v>3000</v>
      </c>
      <c r="U40">
        <v>20.786000000000001</v>
      </c>
      <c r="V40">
        <v>162.70599999999999</v>
      </c>
      <c r="W40">
        <v>143.98599999999999</v>
      </c>
      <c r="X40">
        <v>56.161000000000001</v>
      </c>
      <c r="Y40">
        <v>229.79</v>
      </c>
      <c r="Z40">
        <v>46.006999999999998</v>
      </c>
      <c r="AA40">
        <v>-0.80100000000000005</v>
      </c>
      <c r="AC40">
        <v>3000</v>
      </c>
      <c r="AD40">
        <v>20.937000000000001</v>
      </c>
      <c r="AE40">
        <v>209.70400000000001</v>
      </c>
      <c r="AF40">
        <v>190.846</v>
      </c>
      <c r="AG40">
        <v>56.573999999999998</v>
      </c>
      <c r="AH40">
        <v>256.74099999999999</v>
      </c>
      <c r="AI40">
        <v>54.326999999999998</v>
      </c>
      <c r="AJ40">
        <v>-0.94599999999999995</v>
      </c>
      <c r="AL40">
        <v>3000</v>
      </c>
      <c r="AM40">
        <v>36.735999999999997</v>
      </c>
      <c r="AN40">
        <v>256.82400000000001</v>
      </c>
      <c r="AO40">
        <v>226.96199999999999</v>
      </c>
      <c r="AP40">
        <v>89.584000000000003</v>
      </c>
      <c r="AQ40">
        <v>35.194000000000003</v>
      </c>
      <c r="AR40">
        <v>-4.2409999999999997</v>
      </c>
      <c r="AS40">
        <v>7.3999999999999996E-2</v>
      </c>
      <c r="AU40">
        <v>3000</v>
      </c>
      <c r="AV40">
        <v>39.863999999999997</v>
      </c>
      <c r="AW40">
        <v>284.46600000000001</v>
      </c>
      <c r="AX40">
        <v>251.79499999999999</v>
      </c>
      <c r="AY40">
        <v>98.013000000000005</v>
      </c>
      <c r="AZ40">
        <v>0</v>
      </c>
      <c r="BA40">
        <v>0</v>
      </c>
      <c r="BB40">
        <v>0</v>
      </c>
      <c r="BD40">
        <v>3000</v>
      </c>
      <c r="BE40">
        <v>37.087000000000003</v>
      </c>
      <c r="BF40">
        <v>202.89099999999999</v>
      </c>
      <c r="BG40">
        <v>173.31100000000001</v>
      </c>
      <c r="BH40">
        <v>88.74</v>
      </c>
      <c r="BI40">
        <v>0</v>
      </c>
      <c r="BJ40">
        <v>0</v>
      </c>
      <c r="BK40">
        <v>0</v>
      </c>
      <c r="BM40">
        <v>3000</v>
      </c>
      <c r="BN40">
        <v>37.03</v>
      </c>
      <c r="BO40">
        <v>266.89100000000002</v>
      </c>
      <c r="BP40">
        <v>235.98599999999999</v>
      </c>
      <c r="BQ40">
        <v>92.715000000000003</v>
      </c>
      <c r="BR40">
        <v>0</v>
      </c>
      <c r="BS40">
        <v>0</v>
      </c>
      <c r="BT40">
        <v>0</v>
      </c>
    </row>
    <row r="41" spans="2:72" x14ac:dyDescent="0.25">
      <c r="B41">
        <v>3400</v>
      </c>
      <c r="C41">
        <v>56.828000000000003</v>
      </c>
      <c r="D41">
        <v>293.55</v>
      </c>
      <c r="E41">
        <v>249.70500000000001</v>
      </c>
      <c r="F41">
        <v>149.07300000000001</v>
      </c>
      <c r="G41">
        <v>-253.553</v>
      </c>
      <c r="H41">
        <v>-53.680999999999997</v>
      </c>
      <c r="I41">
        <v>0.82499999999999996</v>
      </c>
      <c r="K41">
        <v>3100</v>
      </c>
      <c r="L41">
        <v>37.518999999999998</v>
      </c>
      <c r="M41">
        <v>289.39499999999998</v>
      </c>
      <c r="N41">
        <v>257.54899999999998</v>
      </c>
      <c r="O41">
        <v>98.721999999999994</v>
      </c>
      <c r="P41">
        <v>89.798000000000002</v>
      </c>
      <c r="Q41">
        <v>51.192</v>
      </c>
      <c r="R41">
        <v>-0.86299999999999999</v>
      </c>
      <c r="T41">
        <v>3100</v>
      </c>
      <c r="U41">
        <v>20.786000000000001</v>
      </c>
      <c r="V41">
        <v>163.38800000000001</v>
      </c>
      <c r="W41">
        <v>144.601</v>
      </c>
      <c r="X41">
        <v>58.238999999999997</v>
      </c>
      <c r="Y41">
        <v>230.00800000000001</v>
      </c>
      <c r="Z41">
        <v>39.877000000000002</v>
      </c>
      <c r="AA41">
        <v>-0.67200000000000004</v>
      </c>
      <c r="AC41">
        <v>3100</v>
      </c>
      <c r="AD41">
        <v>20.963000000000001</v>
      </c>
      <c r="AE41">
        <v>210.39099999999999</v>
      </c>
      <c r="AF41">
        <v>191.46600000000001</v>
      </c>
      <c r="AG41">
        <v>58.668999999999997</v>
      </c>
      <c r="AH41">
        <v>256.83800000000002</v>
      </c>
      <c r="AI41">
        <v>47.578000000000003</v>
      </c>
      <c r="AJ41">
        <v>-0.80200000000000005</v>
      </c>
      <c r="AL41">
        <v>3100</v>
      </c>
      <c r="AM41">
        <v>36.878</v>
      </c>
      <c r="AN41">
        <v>258.03100000000001</v>
      </c>
      <c r="AO41">
        <v>227.94499999999999</v>
      </c>
      <c r="AP41">
        <v>93.265000000000001</v>
      </c>
      <c r="AQ41">
        <v>35.017000000000003</v>
      </c>
      <c r="AR41">
        <v>-5.5519999999999996</v>
      </c>
      <c r="AS41">
        <v>9.4E-2</v>
      </c>
      <c r="AU41">
        <v>3100</v>
      </c>
      <c r="AV41">
        <v>40.048000000000002</v>
      </c>
      <c r="AW41">
        <v>285.77600000000001</v>
      </c>
      <c r="AX41">
        <v>252.87</v>
      </c>
      <c r="AY41">
        <v>102.009</v>
      </c>
      <c r="AZ41">
        <v>0</v>
      </c>
      <c r="BA41">
        <v>0</v>
      </c>
      <c r="BB41">
        <v>0</v>
      </c>
      <c r="BD41">
        <v>3100</v>
      </c>
      <c r="BE41">
        <v>37.311</v>
      </c>
      <c r="BF41">
        <v>204.11099999999999</v>
      </c>
      <c r="BG41">
        <v>174.285</v>
      </c>
      <c r="BH41">
        <v>92.46</v>
      </c>
      <c r="BI41">
        <v>0</v>
      </c>
      <c r="BJ41">
        <v>0</v>
      </c>
      <c r="BK41">
        <v>0</v>
      </c>
      <c r="BM41">
        <v>3100</v>
      </c>
      <c r="BN41">
        <v>37.095999999999997</v>
      </c>
      <c r="BO41">
        <v>268.10599999999999</v>
      </c>
      <c r="BP41">
        <v>237.00299999999999</v>
      </c>
      <c r="BQ41">
        <v>96.421000000000006</v>
      </c>
      <c r="BR41">
        <v>0</v>
      </c>
      <c r="BS41">
        <v>0</v>
      </c>
      <c r="BT41">
        <v>0</v>
      </c>
    </row>
    <row r="42" spans="2:72" x14ac:dyDescent="0.25">
      <c r="B42">
        <v>3500</v>
      </c>
      <c r="C42">
        <v>57.058</v>
      </c>
      <c r="D42">
        <v>295.20100000000002</v>
      </c>
      <c r="E42">
        <v>250.982</v>
      </c>
      <c r="F42">
        <v>154.768</v>
      </c>
      <c r="G42">
        <v>-253.696</v>
      </c>
      <c r="H42">
        <v>-47.801000000000002</v>
      </c>
      <c r="I42">
        <v>0.71299999999999997</v>
      </c>
      <c r="K42">
        <v>3200</v>
      </c>
      <c r="L42">
        <v>37.57</v>
      </c>
      <c r="M42">
        <v>290.58699999999999</v>
      </c>
      <c r="N42">
        <v>258.56299999999999</v>
      </c>
      <c r="O42">
        <v>102.477</v>
      </c>
      <c r="P42">
        <v>89.688999999999993</v>
      </c>
      <c r="Q42">
        <v>49.948</v>
      </c>
      <c r="R42">
        <v>-0.81499999999999995</v>
      </c>
      <c r="T42">
        <v>3200</v>
      </c>
      <c r="U42">
        <v>20.786000000000001</v>
      </c>
      <c r="V42">
        <v>164.048</v>
      </c>
      <c r="W42">
        <v>145.19900000000001</v>
      </c>
      <c r="X42">
        <v>60.317999999999998</v>
      </c>
      <c r="Y42">
        <v>230.21600000000001</v>
      </c>
      <c r="Z42">
        <v>33.741</v>
      </c>
      <c r="AA42">
        <v>-0.55100000000000005</v>
      </c>
      <c r="AC42">
        <v>3200</v>
      </c>
      <c r="AD42">
        <v>20.991</v>
      </c>
      <c r="AE42">
        <v>211.05699999999999</v>
      </c>
      <c r="AF42">
        <v>192.06800000000001</v>
      </c>
      <c r="AG42">
        <v>60.767000000000003</v>
      </c>
      <c r="AH42">
        <v>256.92899999999997</v>
      </c>
      <c r="AI42">
        <v>40.826000000000001</v>
      </c>
      <c r="AJ42">
        <v>-0.66600000000000004</v>
      </c>
      <c r="AL42">
        <v>3200</v>
      </c>
      <c r="AM42">
        <v>37.012999999999998</v>
      </c>
      <c r="AN42">
        <v>259.20299999999997</v>
      </c>
      <c r="AO42">
        <v>228.904</v>
      </c>
      <c r="AP42">
        <v>96.96</v>
      </c>
      <c r="AQ42">
        <v>34.834000000000003</v>
      </c>
      <c r="AR42">
        <v>-6.8579999999999997</v>
      </c>
      <c r="AS42">
        <v>0.112</v>
      </c>
      <c r="AU42">
        <v>3200</v>
      </c>
      <c r="AV42">
        <v>40.225000000000001</v>
      </c>
      <c r="AW42">
        <v>287.05</v>
      </c>
      <c r="AX42">
        <v>253.91800000000001</v>
      </c>
      <c r="AY42">
        <v>106.023</v>
      </c>
      <c r="AZ42">
        <v>0</v>
      </c>
      <c r="BA42">
        <v>0</v>
      </c>
      <c r="BB42">
        <v>0</v>
      </c>
      <c r="BD42">
        <v>3200</v>
      </c>
      <c r="BE42">
        <v>37.527999999999999</v>
      </c>
      <c r="BF42">
        <v>205.29900000000001</v>
      </c>
      <c r="BG42">
        <v>175.23599999999999</v>
      </c>
      <c r="BH42">
        <v>96.201999999999998</v>
      </c>
      <c r="BI42">
        <v>0</v>
      </c>
      <c r="BJ42">
        <v>0</v>
      </c>
      <c r="BK42">
        <v>0</v>
      </c>
      <c r="BM42">
        <v>3200</v>
      </c>
      <c r="BN42">
        <v>37.158000000000001</v>
      </c>
      <c r="BO42">
        <v>269.28500000000003</v>
      </c>
      <c r="BP42">
        <v>237.99299999999999</v>
      </c>
      <c r="BQ42">
        <v>100.134</v>
      </c>
      <c r="BR42">
        <v>0</v>
      </c>
      <c r="BS42">
        <v>0</v>
      </c>
      <c r="BT42">
        <v>0</v>
      </c>
    </row>
    <row r="43" spans="2:72" x14ac:dyDescent="0.25">
      <c r="B43">
        <v>3600</v>
      </c>
      <c r="C43">
        <v>57.276000000000003</v>
      </c>
      <c r="D43">
        <v>296.81200000000001</v>
      </c>
      <c r="E43">
        <v>252.233</v>
      </c>
      <c r="F43">
        <v>160.48500000000001</v>
      </c>
      <c r="G43">
        <v>-253.84399999999999</v>
      </c>
      <c r="H43">
        <v>-41.915999999999997</v>
      </c>
      <c r="I43">
        <v>0.60799999999999998</v>
      </c>
      <c r="K43">
        <v>3300</v>
      </c>
      <c r="L43">
        <v>37.616999999999997</v>
      </c>
      <c r="M43">
        <v>291.74400000000003</v>
      </c>
      <c r="N43">
        <v>259.55099999999999</v>
      </c>
      <c r="O43">
        <v>106.236</v>
      </c>
      <c r="P43">
        <v>89.573999999999998</v>
      </c>
      <c r="Q43">
        <v>48.707999999999998</v>
      </c>
      <c r="R43">
        <v>-0.77100000000000002</v>
      </c>
      <c r="T43">
        <v>3300</v>
      </c>
      <c r="U43">
        <v>20.786000000000001</v>
      </c>
      <c r="V43">
        <v>164.68799999999999</v>
      </c>
      <c r="W43">
        <v>145.78</v>
      </c>
      <c r="X43">
        <v>62.396999999999998</v>
      </c>
      <c r="Y43">
        <v>230.41300000000001</v>
      </c>
      <c r="Z43">
        <v>27.597999999999999</v>
      </c>
      <c r="AA43">
        <v>-0.437</v>
      </c>
      <c r="AC43">
        <v>3300</v>
      </c>
      <c r="AD43">
        <v>21.021999999999998</v>
      </c>
      <c r="AE43">
        <v>211.70400000000001</v>
      </c>
      <c r="AF43">
        <v>192.65299999999999</v>
      </c>
      <c r="AG43">
        <v>62.866999999999997</v>
      </c>
      <c r="AH43">
        <v>257.01400000000001</v>
      </c>
      <c r="AI43">
        <v>34.070999999999998</v>
      </c>
      <c r="AJ43">
        <v>-0.53900000000000003</v>
      </c>
      <c r="AL43">
        <v>3300</v>
      </c>
      <c r="AM43">
        <v>37.14</v>
      </c>
      <c r="AN43">
        <v>260.34399999999999</v>
      </c>
      <c r="AO43">
        <v>229.839</v>
      </c>
      <c r="AP43">
        <v>100.667</v>
      </c>
      <c r="AQ43">
        <v>34.643999999999998</v>
      </c>
      <c r="AR43">
        <v>-8.1579999999999995</v>
      </c>
      <c r="AS43">
        <v>0.129</v>
      </c>
      <c r="AU43">
        <v>3300</v>
      </c>
      <c r="AV43">
        <v>40.395000000000003</v>
      </c>
      <c r="AW43">
        <v>288.291</v>
      </c>
      <c r="AX43">
        <v>254.941</v>
      </c>
      <c r="AY43">
        <v>110.054</v>
      </c>
      <c r="AZ43">
        <v>0</v>
      </c>
      <c r="BA43">
        <v>0</v>
      </c>
      <c r="BB43">
        <v>0</v>
      </c>
      <c r="BD43">
        <v>3300</v>
      </c>
      <c r="BE43">
        <v>37.74</v>
      </c>
      <c r="BF43">
        <v>206.45699999999999</v>
      </c>
      <c r="BG43">
        <v>176.16399999999999</v>
      </c>
      <c r="BH43">
        <v>99.965999999999994</v>
      </c>
      <c r="BI43">
        <v>0</v>
      </c>
      <c r="BJ43">
        <v>0</v>
      </c>
      <c r="BK43">
        <v>0</v>
      </c>
      <c r="BM43">
        <v>3300</v>
      </c>
      <c r="BN43">
        <v>37.216000000000001</v>
      </c>
      <c r="BO43">
        <v>270.42899999999997</v>
      </c>
      <c r="BP43">
        <v>238.959</v>
      </c>
      <c r="BQ43">
        <v>103.852</v>
      </c>
      <c r="BR43">
        <v>0</v>
      </c>
      <c r="BS43">
        <v>0</v>
      </c>
      <c r="BT43">
        <v>0</v>
      </c>
    </row>
    <row r="44" spans="2:72" x14ac:dyDescent="0.25">
      <c r="B44">
        <v>3700</v>
      </c>
      <c r="C44">
        <v>57.48</v>
      </c>
      <c r="D44">
        <v>298.38400000000001</v>
      </c>
      <c r="E44">
        <v>253.459</v>
      </c>
      <c r="F44">
        <v>166.22200000000001</v>
      </c>
      <c r="G44">
        <v>-253.99700000000001</v>
      </c>
      <c r="H44">
        <v>-36.027000000000001</v>
      </c>
      <c r="I44">
        <v>0.50900000000000001</v>
      </c>
      <c r="K44">
        <v>3400</v>
      </c>
      <c r="L44">
        <v>37.662999999999997</v>
      </c>
      <c r="M44">
        <v>292.86700000000002</v>
      </c>
      <c r="N44">
        <v>260.51400000000001</v>
      </c>
      <c r="O44">
        <v>110</v>
      </c>
      <c r="P44">
        <v>89.450999999999993</v>
      </c>
      <c r="Q44">
        <v>47.472000000000001</v>
      </c>
      <c r="R44">
        <v>-0.72899999999999998</v>
      </c>
      <c r="T44">
        <v>3400</v>
      </c>
      <c r="U44">
        <v>20.786000000000001</v>
      </c>
      <c r="V44">
        <v>165.30799999999999</v>
      </c>
      <c r="W44">
        <v>146.345</v>
      </c>
      <c r="X44">
        <v>64.474999999999994</v>
      </c>
      <c r="Y44">
        <v>230.59899999999999</v>
      </c>
      <c r="Z44">
        <v>21.449000000000002</v>
      </c>
      <c r="AA44">
        <v>-0.33</v>
      </c>
      <c r="AC44">
        <v>3400</v>
      </c>
      <c r="AD44">
        <v>21.056000000000001</v>
      </c>
      <c r="AE44">
        <v>212.33199999999999</v>
      </c>
      <c r="AF44">
        <v>193.22300000000001</v>
      </c>
      <c r="AG44">
        <v>64.971000000000004</v>
      </c>
      <c r="AH44">
        <v>257.09399999999999</v>
      </c>
      <c r="AI44">
        <v>27.315000000000001</v>
      </c>
      <c r="AJ44">
        <v>-0.42</v>
      </c>
      <c r="AL44">
        <v>3400</v>
      </c>
      <c r="AM44">
        <v>37.261000000000003</v>
      </c>
      <c r="AN44">
        <v>261.45499999999998</v>
      </c>
      <c r="AO44">
        <v>230.75299999999999</v>
      </c>
      <c r="AP44">
        <v>104.387</v>
      </c>
      <c r="AQ44">
        <v>34.448</v>
      </c>
      <c r="AR44">
        <v>-9.452</v>
      </c>
      <c r="AS44">
        <v>0.14499999999999999</v>
      </c>
      <c r="AU44">
        <v>3400</v>
      </c>
      <c r="AV44">
        <v>40.558999999999997</v>
      </c>
      <c r="AW44">
        <v>289.49900000000002</v>
      </c>
      <c r="AX44">
        <v>255.94</v>
      </c>
      <c r="AY44">
        <v>114.102</v>
      </c>
      <c r="AZ44">
        <v>0</v>
      </c>
      <c r="BA44">
        <v>0</v>
      </c>
      <c r="BB44">
        <v>0</v>
      </c>
      <c r="BD44">
        <v>3400</v>
      </c>
      <c r="BE44">
        <v>37.945999999999998</v>
      </c>
      <c r="BF44">
        <v>207.58699999999999</v>
      </c>
      <c r="BG44">
        <v>177.072</v>
      </c>
      <c r="BH44">
        <v>103.75</v>
      </c>
      <c r="BI44">
        <v>0</v>
      </c>
      <c r="BJ44">
        <v>0</v>
      </c>
      <c r="BK44">
        <v>0</v>
      </c>
      <c r="BM44">
        <v>3400</v>
      </c>
      <c r="BN44">
        <v>37.271000000000001</v>
      </c>
      <c r="BO44">
        <v>271.541</v>
      </c>
      <c r="BP44">
        <v>239.90100000000001</v>
      </c>
      <c r="BQ44">
        <v>107.577</v>
      </c>
      <c r="BR44">
        <v>0</v>
      </c>
      <c r="BS44">
        <v>0</v>
      </c>
      <c r="BT44">
        <v>0</v>
      </c>
    </row>
    <row r="45" spans="2:72" x14ac:dyDescent="0.25">
      <c r="B45">
        <v>3800</v>
      </c>
      <c r="C45">
        <v>57.674999999999997</v>
      </c>
      <c r="D45">
        <v>299.91899999999998</v>
      </c>
      <c r="E45">
        <v>254.661</v>
      </c>
      <c r="F45">
        <v>171.98</v>
      </c>
      <c r="G45">
        <v>-254.15799999999999</v>
      </c>
      <c r="H45">
        <v>-30.132999999999999</v>
      </c>
      <c r="I45">
        <v>0.41399999999999998</v>
      </c>
      <c r="K45">
        <v>3500</v>
      </c>
      <c r="L45">
        <v>37.706000000000003</v>
      </c>
      <c r="M45">
        <v>293.95999999999998</v>
      </c>
      <c r="N45">
        <v>261.45400000000001</v>
      </c>
      <c r="O45">
        <v>113.768</v>
      </c>
      <c r="P45">
        <v>89.322999999999993</v>
      </c>
      <c r="Q45">
        <v>46.238999999999997</v>
      </c>
      <c r="R45">
        <v>-0.69</v>
      </c>
      <c r="T45">
        <v>3500</v>
      </c>
      <c r="U45">
        <v>20.786000000000001</v>
      </c>
      <c r="V45">
        <v>165.911</v>
      </c>
      <c r="W45">
        <v>146.89500000000001</v>
      </c>
      <c r="X45">
        <v>66.554000000000002</v>
      </c>
      <c r="Y45">
        <v>230.77600000000001</v>
      </c>
      <c r="Z45">
        <v>15.295</v>
      </c>
      <c r="AA45">
        <v>-0.22800000000000001</v>
      </c>
      <c r="AC45">
        <v>3500</v>
      </c>
      <c r="AD45">
        <v>21.091999999999999</v>
      </c>
      <c r="AE45">
        <v>212.94300000000001</v>
      </c>
      <c r="AF45">
        <v>193.77699999999999</v>
      </c>
      <c r="AG45">
        <v>67.078999999999994</v>
      </c>
      <c r="AH45">
        <v>257.16899999999998</v>
      </c>
      <c r="AI45">
        <v>20.555</v>
      </c>
      <c r="AJ45">
        <v>-0.307</v>
      </c>
      <c r="AL45">
        <v>3500</v>
      </c>
      <c r="AM45">
        <v>37.375999999999998</v>
      </c>
      <c r="AN45">
        <v>262.53699999999998</v>
      </c>
      <c r="AO45">
        <v>231.64500000000001</v>
      </c>
      <c r="AP45">
        <v>108.119</v>
      </c>
      <c r="AQ45">
        <v>34.246000000000002</v>
      </c>
      <c r="AR45">
        <v>-10.741</v>
      </c>
      <c r="AS45">
        <v>0.16</v>
      </c>
      <c r="AU45">
        <v>3500</v>
      </c>
      <c r="AV45">
        <v>40.716000000000001</v>
      </c>
      <c r="AW45">
        <v>290.67700000000002</v>
      </c>
      <c r="AX45">
        <v>256.916</v>
      </c>
      <c r="AY45">
        <v>118.16500000000001</v>
      </c>
      <c r="AZ45">
        <v>0</v>
      </c>
      <c r="BA45">
        <v>0</v>
      </c>
      <c r="BB45">
        <v>0</v>
      </c>
      <c r="BD45">
        <v>3500</v>
      </c>
      <c r="BE45">
        <v>38.149000000000001</v>
      </c>
      <c r="BF45">
        <v>208.69</v>
      </c>
      <c r="BG45">
        <v>177.96</v>
      </c>
      <c r="BH45">
        <v>107.55500000000001</v>
      </c>
      <c r="BI45">
        <v>0</v>
      </c>
      <c r="BJ45">
        <v>0</v>
      </c>
      <c r="BK45">
        <v>0</v>
      </c>
      <c r="BM45">
        <v>3500</v>
      </c>
      <c r="BN45">
        <v>37.323</v>
      </c>
      <c r="BO45">
        <v>272.62200000000001</v>
      </c>
      <c r="BP45">
        <v>240.821</v>
      </c>
      <c r="BQ45">
        <v>111.306</v>
      </c>
      <c r="BR45">
        <v>0</v>
      </c>
      <c r="BS45">
        <v>0</v>
      </c>
      <c r="BT45">
        <v>0</v>
      </c>
    </row>
    <row r="46" spans="2:72" x14ac:dyDescent="0.25">
      <c r="B46">
        <v>3900</v>
      </c>
      <c r="C46">
        <v>57.859000000000002</v>
      </c>
      <c r="D46">
        <v>301.42</v>
      </c>
      <c r="E46">
        <v>255.84100000000001</v>
      </c>
      <c r="F46">
        <v>177.75700000000001</v>
      </c>
      <c r="G46">
        <v>-254.32599999999999</v>
      </c>
      <c r="H46">
        <v>-24.236000000000001</v>
      </c>
      <c r="I46">
        <v>0.32500000000000001</v>
      </c>
      <c r="K46">
        <v>3600</v>
      </c>
      <c r="L46">
        <v>37.747</v>
      </c>
      <c r="M46">
        <v>295.02199999999999</v>
      </c>
      <c r="N46">
        <v>262.37200000000001</v>
      </c>
      <c r="O46">
        <v>117.541</v>
      </c>
      <c r="P46">
        <v>89.188999999999993</v>
      </c>
      <c r="Q46">
        <v>45.01</v>
      </c>
      <c r="R46">
        <v>-0.65300000000000002</v>
      </c>
      <c r="T46">
        <v>3600</v>
      </c>
      <c r="U46">
        <v>20.786000000000001</v>
      </c>
      <c r="V46">
        <v>166.49600000000001</v>
      </c>
      <c r="W46">
        <v>147.43199999999999</v>
      </c>
      <c r="X46">
        <v>68.632000000000005</v>
      </c>
      <c r="Y46">
        <v>230.94200000000001</v>
      </c>
      <c r="Z46">
        <v>9.1359999999999992</v>
      </c>
      <c r="AA46">
        <v>-0.13300000000000001</v>
      </c>
      <c r="AC46">
        <v>3600</v>
      </c>
      <c r="AD46">
        <v>21.13</v>
      </c>
      <c r="AE46">
        <v>213.53700000000001</v>
      </c>
      <c r="AF46">
        <v>194.31800000000001</v>
      </c>
      <c r="AG46">
        <v>69.19</v>
      </c>
      <c r="AH46">
        <v>257.24099999999999</v>
      </c>
      <c r="AI46">
        <v>13.794</v>
      </c>
      <c r="AJ46">
        <v>-0.2</v>
      </c>
      <c r="AL46">
        <v>3600</v>
      </c>
      <c r="AM46">
        <v>37.485999999999997</v>
      </c>
      <c r="AN46">
        <v>263.59100000000001</v>
      </c>
      <c r="AO46">
        <v>232.518</v>
      </c>
      <c r="AP46">
        <v>111.863</v>
      </c>
      <c r="AQ46">
        <v>34.036999999999999</v>
      </c>
      <c r="AR46">
        <v>-12.023</v>
      </c>
      <c r="AS46">
        <v>0.17399999999999999</v>
      </c>
      <c r="AU46">
        <v>3600</v>
      </c>
      <c r="AV46">
        <v>40.868000000000002</v>
      </c>
      <c r="AW46">
        <v>291.82600000000002</v>
      </c>
      <c r="AX46">
        <v>257.87</v>
      </c>
      <c r="AY46">
        <v>122.245</v>
      </c>
      <c r="AZ46">
        <v>0</v>
      </c>
      <c r="BA46">
        <v>0</v>
      </c>
      <c r="BB46">
        <v>0</v>
      </c>
      <c r="BD46">
        <v>3600</v>
      </c>
      <c r="BE46">
        <v>38.347999999999999</v>
      </c>
      <c r="BF46">
        <v>209.767</v>
      </c>
      <c r="BG46">
        <v>178.828</v>
      </c>
      <c r="BH46">
        <v>111.38</v>
      </c>
      <c r="BI46">
        <v>0</v>
      </c>
      <c r="BJ46">
        <v>0</v>
      </c>
      <c r="BK46">
        <v>0</v>
      </c>
      <c r="BM46">
        <v>3600</v>
      </c>
      <c r="BN46">
        <v>37.372999999999998</v>
      </c>
      <c r="BO46">
        <v>273.67500000000001</v>
      </c>
      <c r="BP46">
        <v>241.71899999999999</v>
      </c>
      <c r="BQ46">
        <v>115.041</v>
      </c>
      <c r="BR46">
        <v>0</v>
      </c>
      <c r="BS46">
        <v>0</v>
      </c>
      <c r="BT46">
        <v>0</v>
      </c>
    </row>
    <row r="47" spans="2:72" x14ac:dyDescent="0.25">
      <c r="B47">
        <v>4000</v>
      </c>
      <c r="C47">
        <v>58.033000000000001</v>
      </c>
      <c r="D47">
        <v>302.887</v>
      </c>
      <c r="E47">
        <v>256.99900000000002</v>
      </c>
      <c r="F47">
        <v>183.55199999999999</v>
      </c>
      <c r="G47">
        <v>-254.501</v>
      </c>
      <c r="H47">
        <v>-18.334</v>
      </c>
      <c r="I47">
        <v>0.23899999999999999</v>
      </c>
      <c r="K47">
        <v>3700</v>
      </c>
      <c r="L47">
        <v>37.786999999999999</v>
      </c>
      <c r="M47">
        <v>296.05700000000002</v>
      </c>
      <c r="N47">
        <v>263.26900000000001</v>
      </c>
      <c r="O47">
        <v>121.318</v>
      </c>
      <c r="P47">
        <v>89.049000000000007</v>
      </c>
      <c r="Q47">
        <v>43.783999999999999</v>
      </c>
      <c r="R47">
        <v>-0.61799999999999999</v>
      </c>
      <c r="T47">
        <v>3700</v>
      </c>
      <c r="U47">
        <v>20.786000000000001</v>
      </c>
      <c r="V47">
        <v>167.066</v>
      </c>
      <c r="W47">
        <v>147.95500000000001</v>
      </c>
      <c r="X47">
        <v>70.710999999999999</v>
      </c>
      <c r="Y47">
        <v>231.09800000000001</v>
      </c>
      <c r="Z47">
        <v>2.9729999999999999</v>
      </c>
      <c r="AA47">
        <v>-4.2000000000000003E-2</v>
      </c>
      <c r="AC47">
        <v>3700</v>
      </c>
      <c r="AD47">
        <v>21.17</v>
      </c>
      <c r="AE47">
        <v>214.11699999999999</v>
      </c>
      <c r="AF47">
        <v>194.845</v>
      </c>
      <c r="AG47">
        <v>71.305000000000007</v>
      </c>
      <c r="AH47">
        <v>257.30900000000003</v>
      </c>
      <c r="AI47">
        <v>7.03</v>
      </c>
      <c r="AJ47">
        <v>-9.9000000000000005E-2</v>
      </c>
      <c r="AL47">
        <v>3700</v>
      </c>
      <c r="AM47">
        <v>37.591999999999999</v>
      </c>
      <c r="AN47">
        <v>264.62</v>
      </c>
      <c r="AO47">
        <v>233.37200000000001</v>
      </c>
      <c r="AP47">
        <v>115.617</v>
      </c>
      <c r="AQ47">
        <v>33.820999999999998</v>
      </c>
      <c r="AR47">
        <v>-13.3</v>
      </c>
      <c r="AS47">
        <v>0.188</v>
      </c>
      <c r="AU47">
        <v>3700</v>
      </c>
      <c r="AV47">
        <v>41.012999999999998</v>
      </c>
      <c r="AW47">
        <v>292.94799999999998</v>
      </c>
      <c r="AX47">
        <v>258.80200000000002</v>
      </c>
      <c r="AY47">
        <v>126.339</v>
      </c>
      <c r="AZ47">
        <v>0</v>
      </c>
      <c r="BA47">
        <v>0</v>
      </c>
      <c r="BB47">
        <v>0</v>
      </c>
      <c r="BD47">
        <v>3700</v>
      </c>
      <c r="BE47">
        <v>38.543999999999997</v>
      </c>
      <c r="BF47">
        <v>210.821</v>
      </c>
      <c r="BG47">
        <v>179.679</v>
      </c>
      <c r="BH47">
        <v>115.224</v>
      </c>
      <c r="BI47">
        <v>0</v>
      </c>
      <c r="BJ47">
        <v>0</v>
      </c>
      <c r="BK47">
        <v>0</v>
      </c>
      <c r="BM47">
        <v>3700</v>
      </c>
      <c r="BN47">
        <v>37.42</v>
      </c>
      <c r="BO47">
        <v>274.69900000000001</v>
      </c>
      <c r="BP47">
        <v>242.596</v>
      </c>
      <c r="BQ47">
        <v>118.78100000000001</v>
      </c>
      <c r="BR47">
        <v>0</v>
      </c>
      <c r="BS47">
        <v>0</v>
      </c>
      <c r="BT47">
        <v>0</v>
      </c>
    </row>
    <row r="48" spans="2:72" x14ac:dyDescent="0.25">
      <c r="B48">
        <v>4100</v>
      </c>
      <c r="C48">
        <v>58.198999999999998</v>
      </c>
      <c r="D48">
        <v>304.322</v>
      </c>
      <c r="E48">
        <v>258.13600000000002</v>
      </c>
      <c r="F48">
        <v>189.363</v>
      </c>
      <c r="G48">
        <v>-254.684</v>
      </c>
      <c r="H48">
        <v>-12.427</v>
      </c>
      <c r="I48">
        <v>0.158</v>
      </c>
      <c r="K48">
        <v>3800</v>
      </c>
      <c r="L48">
        <v>37.825000000000003</v>
      </c>
      <c r="M48">
        <v>297.065</v>
      </c>
      <c r="N48">
        <v>264.14499999999998</v>
      </c>
      <c r="O48">
        <v>125.098</v>
      </c>
      <c r="P48">
        <v>88.903000000000006</v>
      </c>
      <c r="Q48">
        <v>42.563000000000002</v>
      </c>
      <c r="R48">
        <v>-0.58499999999999996</v>
      </c>
      <c r="T48">
        <v>3800</v>
      </c>
      <c r="U48">
        <v>20.786000000000001</v>
      </c>
      <c r="V48">
        <v>167.62</v>
      </c>
      <c r="W48">
        <v>148.465</v>
      </c>
      <c r="X48">
        <v>72.790000000000006</v>
      </c>
      <c r="Y48">
        <v>231.244</v>
      </c>
      <c r="Z48">
        <v>-3.1949999999999998</v>
      </c>
      <c r="AA48">
        <v>4.3999999999999997E-2</v>
      </c>
      <c r="AC48">
        <v>3800</v>
      </c>
      <c r="AD48">
        <v>21.213000000000001</v>
      </c>
      <c r="AE48">
        <v>214.68199999999999</v>
      </c>
      <c r="AF48">
        <v>195.36</v>
      </c>
      <c r="AG48">
        <v>73.424000000000007</v>
      </c>
      <c r="AH48">
        <v>257.37299999999999</v>
      </c>
      <c r="AI48">
        <v>0.26500000000000001</v>
      </c>
      <c r="AJ48">
        <v>-4.0000000000000001E-3</v>
      </c>
      <c r="AL48">
        <v>3800</v>
      </c>
      <c r="AM48">
        <v>37.692999999999998</v>
      </c>
      <c r="AN48">
        <v>265.62400000000002</v>
      </c>
      <c r="AO48">
        <v>234.208</v>
      </c>
      <c r="AP48">
        <v>119.381</v>
      </c>
      <c r="AQ48">
        <v>33.598999999999997</v>
      </c>
      <c r="AR48">
        <v>-14.57</v>
      </c>
      <c r="AS48">
        <v>0.2</v>
      </c>
      <c r="AU48">
        <v>3800</v>
      </c>
      <c r="AV48">
        <v>41.154000000000003</v>
      </c>
      <c r="AW48">
        <v>294.04399999999998</v>
      </c>
      <c r="AX48">
        <v>259.71600000000001</v>
      </c>
      <c r="AY48">
        <v>130.447</v>
      </c>
      <c r="AZ48">
        <v>0</v>
      </c>
      <c r="BA48">
        <v>0</v>
      </c>
      <c r="BB48">
        <v>0</v>
      </c>
      <c r="BD48">
        <v>3800</v>
      </c>
      <c r="BE48">
        <v>38.738</v>
      </c>
      <c r="BF48">
        <v>211.851</v>
      </c>
      <c r="BG48">
        <v>180.512</v>
      </c>
      <c r="BH48">
        <v>119.089</v>
      </c>
      <c r="BI48">
        <v>0</v>
      </c>
      <c r="BJ48">
        <v>0</v>
      </c>
      <c r="BK48">
        <v>0</v>
      </c>
      <c r="BM48">
        <v>3800</v>
      </c>
      <c r="BN48">
        <v>37.465000000000003</v>
      </c>
      <c r="BO48">
        <v>275.69799999999998</v>
      </c>
      <c r="BP48">
        <v>243.45400000000001</v>
      </c>
      <c r="BQ48">
        <v>122.52500000000001</v>
      </c>
      <c r="BR48">
        <v>0</v>
      </c>
      <c r="BS48">
        <v>0</v>
      </c>
      <c r="BT48">
        <v>0</v>
      </c>
    </row>
    <row r="49" spans="2:72" x14ac:dyDescent="0.25">
      <c r="B49">
        <v>4200</v>
      </c>
      <c r="C49">
        <v>58.356999999999999</v>
      </c>
      <c r="D49">
        <v>305.726</v>
      </c>
      <c r="E49">
        <v>259.25200000000001</v>
      </c>
      <c r="F49">
        <v>195.191</v>
      </c>
      <c r="G49">
        <v>-254.876</v>
      </c>
      <c r="H49">
        <v>-6.516</v>
      </c>
      <c r="I49">
        <v>8.1000000000000003E-2</v>
      </c>
      <c r="K49">
        <v>3900</v>
      </c>
      <c r="L49">
        <v>37.862000000000002</v>
      </c>
      <c r="M49">
        <v>298.048</v>
      </c>
      <c r="N49">
        <v>265.00200000000001</v>
      </c>
      <c r="O49">
        <v>128.88300000000001</v>
      </c>
      <c r="P49">
        <v>88.751999999999995</v>
      </c>
      <c r="Q49">
        <v>41.345999999999997</v>
      </c>
      <c r="R49">
        <v>-0.55400000000000005</v>
      </c>
      <c r="T49">
        <v>3900</v>
      </c>
      <c r="U49">
        <v>20.786000000000001</v>
      </c>
      <c r="V49">
        <v>168.16</v>
      </c>
      <c r="W49">
        <v>148.96299999999999</v>
      </c>
      <c r="X49">
        <v>74.867999999999995</v>
      </c>
      <c r="Y49">
        <v>231.381</v>
      </c>
      <c r="Z49">
        <v>-9.3659999999999997</v>
      </c>
      <c r="AA49">
        <v>0.125</v>
      </c>
      <c r="AC49">
        <v>3900</v>
      </c>
      <c r="AD49">
        <v>21.257000000000001</v>
      </c>
      <c r="AE49">
        <v>215.23400000000001</v>
      </c>
      <c r="AF49">
        <v>195.86199999999999</v>
      </c>
      <c r="AG49">
        <v>75.546999999999997</v>
      </c>
      <c r="AH49">
        <v>257.43599999999998</v>
      </c>
      <c r="AI49">
        <v>-6.5010000000000003</v>
      </c>
      <c r="AJ49">
        <v>8.6999999999999994E-2</v>
      </c>
      <c r="AL49">
        <v>3900</v>
      </c>
      <c r="AM49">
        <v>37.790999999999997</v>
      </c>
      <c r="AN49">
        <v>266.60399999999998</v>
      </c>
      <c r="AO49">
        <v>235.02600000000001</v>
      </c>
      <c r="AP49">
        <v>123.155</v>
      </c>
      <c r="AQ49">
        <v>33.371000000000002</v>
      </c>
      <c r="AR49">
        <v>-15.834</v>
      </c>
      <c r="AS49">
        <v>0.21199999999999999</v>
      </c>
      <c r="AU49">
        <v>3900</v>
      </c>
      <c r="AV49">
        <v>41.289000000000001</v>
      </c>
      <c r="AW49">
        <v>295.11500000000001</v>
      </c>
      <c r="AX49">
        <v>260.61</v>
      </c>
      <c r="AY49">
        <v>134.56899999999999</v>
      </c>
      <c r="AZ49">
        <v>0</v>
      </c>
      <c r="BA49">
        <v>0</v>
      </c>
      <c r="BB49">
        <v>0</v>
      </c>
      <c r="BD49">
        <v>3900</v>
      </c>
      <c r="BE49">
        <v>38.927999999999997</v>
      </c>
      <c r="BF49">
        <v>212.86</v>
      </c>
      <c r="BG49">
        <v>181.328</v>
      </c>
      <c r="BH49">
        <v>122.97199999999999</v>
      </c>
      <c r="BI49">
        <v>0</v>
      </c>
      <c r="BJ49">
        <v>0</v>
      </c>
      <c r="BK49">
        <v>0</v>
      </c>
      <c r="BM49">
        <v>3900</v>
      </c>
      <c r="BN49">
        <v>37.508000000000003</v>
      </c>
      <c r="BO49">
        <v>276.67099999999999</v>
      </c>
      <c r="BP49">
        <v>244.29400000000001</v>
      </c>
      <c r="BQ49">
        <v>126.274</v>
      </c>
      <c r="BR49">
        <v>0</v>
      </c>
      <c r="BS49">
        <v>0</v>
      </c>
      <c r="BT49">
        <v>0</v>
      </c>
    </row>
    <row r="50" spans="2:72" x14ac:dyDescent="0.25">
      <c r="B50">
        <v>4300</v>
      </c>
      <c r="C50">
        <v>58.506999999999998</v>
      </c>
      <c r="D50">
        <v>307.101</v>
      </c>
      <c r="E50">
        <v>260.34899999999999</v>
      </c>
      <c r="F50">
        <v>201.03399999999999</v>
      </c>
      <c r="G50">
        <v>-255.078</v>
      </c>
      <c r="H50">
        <v>-0.6</v>
      </c>
      <c r="I50">
        <v>7.0000000000000001E-3</v>
      </c>
      <c r="K50">
        <v>4000</v>
      </c>
      <c r="L50">
        <v>37.898000000000003</v>
      </c>
      <c r="M50">
        <v>299.00799999999998</v>
      </c>
      <c r="N50">
        <v>265.83999999999997</v>
      </c>
      <c r="O50">
        <v>132.67099999999999</v>
      </c>
      <c r="P50">
        <v>88.596000000000004</v>
      </c>
      <c r="Q50">
        <v>40.131999999999998</v>
      </c>
      <c r="R50">
        <v>-0.52400000000000002</v>
      </c>
      <c r="T50">
        <v>4000</v>
      </c>
      <c r="U50">
        <v>20.786000000000001</v>
      </c>
      <c r="V50">
        <v>168.68600000000001</v>
      </c>
      <c r="W50">
        <v>149.44999999999999</v>
      </c>
      <c r="X50">
        <v>76.947000000000003</v>
      </c>
      <c r="Y50">
        <v>231.50899999999999</v>
      </c>
      <c r="Z50">
        <v>-15.541</v>
      </c>
      <c r="AA50">
        <v>0.20300000000000001</v>
      </c>
      <c r="AC50">
        <v>4000</v>
      </c>
      <c r="AD50">
        <v>21.302</v>
      </c>
      <c r="AE50">
        <v>215.77199999999999</v>
      </c>
      <c r="AF50">
        <v>196.35300000000001</v>
      </c>
      <c r="AG50">
        <v>77.674999999999997</v>
      </c>
      <c r="AH50">
        <v>257.49599999999998</v>
      </c>
      <c r="AI50">
        <v>-13.27</v>
      </c>
      <c r="AJ50">
        <v>0.17299999999999999</v>
      </c>
      <c r="AL50">
        <v>4000</v>
      </c>
      <c r="AM50">
        <v>37.884999999999998</v>
      </c>
      <c r="AN50">
        <v>267.56200000000001</v>
      </c>
      <c r="AO50">
        <v>235.827</v>
      </c>
      <c r="AP50">
        <v>126.93899999999999</v>
      </c>
      <c r="AQ50">
        <v>33.136000000000003</v>
      </c>
      <c r="AR50">
        <v>-17.093</v>
      </c>
      <c r="AS50">
        <v>0.223</v>
      </c>
      <c r="AU50">
        <v>4000</v>
      </c>
      <c r="AV50">
        <v>41.420999999999999</v>
      </c>
      <c r="AW50">
        <v>296.16199999999998</v>
      </c>
      <c r="AX50">
        <v>261.48500000000001</v>
      </c>
      <c r="AY50">
        <v>138.70500000000001</v>
      </c>
      <c r="AZ50">
        <v>0</v>
      </c>
      <c r="BA50">
        <v>0</v>
      </c>
      <c r="BB50">
        <v>0</v>
      </c>
      <c r="BD50">
        <v>4000</v>
      </c>
      <c r="BE50">
        <v>39.116</v>
      </c>
      <c r="BF50">
        <v>213.84800000000001</v>
      </c>
      <c r="BG50">
        <v>182.12899999999999</v>
      </c>
      <c r="BH50">
        <v>126.874</v>
      </c>
      <c r="BI50">
        <v>0</v>
      </c>
      <c r="BJ50">
        <v>0</v>
      </c>
      <c r="BK50">
        <v>0</v>
      </c>
      <c r="BM50">
        <v>4000</v>
      </c>
      <c r="BN50">
        <v>37.549999999999997</v>
      </c>
      <c r="BO50">
        <v>277.62200000000001</v>
      </c>
      <c r="BP50">
        <v>245.11500000000001</v>
      </c>
      <c r="BQ50">
        <v>130.02699999999999</v>
      </c>
      <c r="BR50">
        <v>0</v>
      </c>
      <c r="BS50">
        <v>0</v>
      </c>
      <c r="BT50">
        <v>0</v>
      </c>
    </row>
    <row r="51" spans="2:72" x14ac:dyDescent="0.25">
      <c r="B51">
        <v>4400</v>
      </c>
      <c r="C51">
        <v>58.65</v>
      </c>
      <c r="D51">
        <v>308.44799999999998</v>
      </c>
      <c r="E51">
        <v>261.42700000000002</v>
      </c>
      <c r="F51">
        <v>206.892</v>
      </c>
      <c r="G51">
        <v>-255.28800000000001</v>
      </c>
      <c r="H51">
        <v>5.32</v>
      </c>
      <c r="I51">
        <v>-6.3E-2</v>
      </c>
      <c r="K51">
        <v>4100</v>
      </c>
      <c r="L51">
        <v>37.933</v>
      </c>
      <c r="M51">
        <v>299.94400000000002</v>
      </c>
      <c r="N51">
        <v>266.66000000000003</v>
      </c>
      <c r="O51">
        <v>136.46199999999999</v>
      </c>
      <c r="P51">
        <v>88.433999999999997</v>
      </c>
      <c r="Q51">
        <v>38.921999999999997</v>
      </c>
      <c r="R51">
        <v>-0.496</v>
      </c>
      <c r="T51">
        <v>4100</v>
      </c>
      <c r="U51">
        <v>20.786000000000001</v>
      </c>
      <c r="V51">
        <v>169.2</v>
      </c>
      <c r="W51">
        <v>149.92500000000001</v>
      </c>
      <c r="X51">
        <v>79.025000000000006</v>
      </c>
      <c r="Y51">
        <v>231.62700000000001</v>
      </c>
      <c r="Z51">
        <v>-21.718</v>
      </c>
      <c r="AA51">
        <v>0.27700000000000002</v>
      </c>
      <c r="AC51">
        <v>4100</v>
      </c>
      <c r="AD51">
        <v>21.349</v>
      </c>
      <c r="AE51">
        <v>216.29900000000001</v>
      </c>
      <c r="AF51">
        <v>196.834</v>
      </c>
      <c r="AG51">
        <v>79.808000000000007</v>
      </c>
      <c r="AH51">
        <v>257.55399999999997</v>
      </c>
      <c r="AI51">
        <v>-20.04</v>
      </c>
      <c r="AJ51">
        <v>0.255</v>
      </c>
      <c r="AL51">
        <v>4100</v>
      </c>
      <c r="AM51">
        <v>37.975999999999999</v>
      </c>
      <c r="AN51">
        <v>268.49900000000002</v>
      </c>
      <c r="AO51">
        <v>236.613</v>
      </c>
      <c r="AP51">
        <v>130.732</v>
      </c>
      <c r="AQ51">
        <v>32.893999999999998</v>
      </c>
      <c r="AR51">
        <v>-18.346</v>
      </c>
      <c r="AS51">
        <v>0.23400000000000001</v>
      </c>
      <c r="AU51">
        <v>4100</v>
      </c>
      <c r="AV51">
        <v>41.548999999999999</v>
      </c>
      <c r="AW51">
        <v>297.18599999999998</v>
      </c>
      <c r="AX51">
        <v>262.34399999999999</v>
      </c>
      <c r="AY51">
        <v>142.85400000000001</v>
      </c>
      <c r="AZ51">
        <v>0</v>
      </c>
      <c r="BA51">
        <v>0</v>
      </c>
      <c r="BB51">
        <v>0</v>
      </c>
      <c r="BD51">
        <v>4100</v>
      </c>
      <c r="BE51">
        <v>39.301000000000002</v>
      </c>
      <c r="BF51">
        <v>214.816</v>
      </c>
      <c r="BG51">
        <v>182.91499999999999</v>
      </c>
      <c r="BH51">
        <v>130.79499999999999</v>
      </c>
      <c r="BI51">
        <v>0</v>
      </c>
      <c r="BJ51">
        <v>0</v>
      </c>
      <c r="BK51">
        <v>0</v>
      </c>
      <c r="BM51">
        <v>4100</v>
      </c>
      <c r="BN51">
        <v>37.590000000000003</v>
      </c>
      <c r="BO51">
        <v>278.54899999999998</v>
      </c>
      <c r="BP51">
        <v>245.91900000000001</v>
      </c>
      <c r="BQ51">
        <v>133.78399999999999</v>
      </c>
      <c r="BR51">
        <v>0</v>
      </c>
      <c r="BS51">
        <v>0</v>
      </c>
      <c r="BT51">
        <v>0</v>
      </c>
    </row>
    <row r="52" spans="2:72" x14ac:dyDescent="0.25">
      <c r="B52">
        <v>4500</v>
      </c>
      <c r="C52">
        <v>58.786999999999999</v>
      </c>
      <c r="D52">
        <v>309.767</v>
      </c>
      <c r="E52">
        <v>262.48599999999999</v>
      </c>
      <c r="F52">
        <v>212.76400000000001</v>
      </c>
      <c r="G52">
        <v>-255.50800000000001</v>
      </c>
      <c r="H52">
        <v>11.244999999999999</v>
      </c>
      <c r="I52">
        <v>-0.13100000000000001</v>
      </c>
      <c r="K52">
        <v>4200</v>
      </c>
      <c r="L52">
        <v>37.966000000000001</v>
      </c>
      <c r="M52">
        <v>300.858</v>
      </c>
      <c r="N52">
        <v>267.464</v>
      </c>
      <c r="O52">
        <v>140.25700000000001</v>
      </c>
      <c r="P52">
        <v>88.268000000000001</v>
      </c>
      <c r="Q52">
        <v>37.716999999999999</v>
      </c>
      <c r="R52">
        <v>-0.46899999999999997</v>
      </c>
      <c r="T52">
        <v>4200</v>
      </c>
      <c r="U52">
        <v>20.786000000000001</v>
      </c>
      <c r="V52">
        <v>169.7</v>
      </c>
      <c r="W52">
        <v>150.38999999999999</v>
      </c>
      <c r="X52">
        <v>81.103999999999999</v>
      </c>
      <c r="Y52">
        <v>231.73599999999999</v>
      </c>
      <c r="Z52">
        <v>-27.899000000000001</v>
      </c>
      <c r="AA52">
        <v>0.34699999999999998</v>
      </c>
      <c r="AC52">
        <v>4200</v>
      </c>
      <c r="AD52">
        <v>21.396999999999998</v>
      </c>
      <c r="AE52">
        <v>216.81399999999999</v>
      </c>
      <c r="AF52">
        <v>197.303</v>
      </c>
      <c r="AG52">
        <v>81.944999999999993</v>
      </c>
      <c r="AH52">
        <v>257.61099999999999</v>
      </c>
      <c r="AI52">
        <v>-26.811</v>
      </c>
      <c r="AJ52">
        <v>0.33300000000000002</v>
      </c>
      <c r="AL52">
        <v>4200</v>
      </c>
      <c r="AM52">
        <v>38.064</v>
      </c>
      <c r="AN52">
        <v>269.41500000000002</v>
      </c>
      <c r="AO52">
        <v>237.38300000000001</v>
      </c>
      <c r="AP52">
        <v>134.53399999999999</v>
      </c>
      <c r="AQ52">
        <v>32.646000000000001</v>
      </c>
      <c r="AR52">
        <v>-19.593</v>
      </c>
      <c r="AS52">
        <v>0.24399999999999999</v>
      </c>
      <c r="AU52">
        <v>4200</v>
      </c>
      <c r="AV52">
        <v>41.673999999999999</v>
      </c>
      <c r="AW52">
        <v>298.18900000000002</v>
      </c>
      <c r="AX52">
        <v>263.185</v>
      </c>
      <c r="AY52">
        <v>147.01499999999999</v>
      </c>
      <c r="AZ52">
        <v>0</v>
      </c>
      <c r="BA52">
        <v>0</v>
      </c>
      <c r="BB52">
        <v>0</v>
      </c>
      <c r="BD52">
        <v>4200</v>
      </c>
      <c r="BE52">
        <v>39.484000000000002</v>
      </c>
      <c r="BF52">
        <v>215.76499999999999</v>
      </c>
      <c r="BG52">
        <v>183.68600000000001</v>
      </c>
      <c r="BH52">
        <v>134.73400000000001</v>
      </c>
      <c r="BI52">
        <v>0</v>
      </c>
      <c r="BJ52">
        <v>0</v>
      </c>
      <c r="BK52">
        <v>0</v>
      </c>
      <c r="BM52">
        <v>4200</v>
      </c>
      <c r="BN52">
        <v>37.628999999999998</v>
      </c>
      <c r="BO52">
        <v>279.45600000000002</v>
      </c>
      <c r="BP52">
        <v>246.70699999999999</v>
      </c>
      <c r="BQ52">
        <v>137.54499999999999</v>
      </c>
      <c r="BR52">
        <v>0</v>
      </c>
      <c r="BS52">
        <v>0</v>
      </c>
      <c r="BT52">
        <v>0</v>
      </c>
    </row>
    <row r="53" spans="2:72" x14ac:dyDescent="0.25">
      <c r="B53">
        <v>4600</v>
      </c>
      <c r="C53">
        <v>58.917999999999999</v>
      </c>
      <c r="D53">
        <v>311.06099999999998</v>
      </c>
      <c r="E53">
        <v>263.52800000000002</v>
      </c>
      <c r="F53">
        <v>218.65</v>
      </c>
      <c r="G53">
        <v>-255.738</v>
      </c>
      <c r="H53">
        <v>17.175000000000001</v>
      </c>
      <c r="I53">
        <v>-0.19500000000000001</v>
      </c>
      <c r="K53">
        <v>4300</v>
      </c>
      <c r="L53">
        <v>37.999000000000002</v>
      </c>
      <c r="M53">
        <v>301.75200000000001</v>
      </c>
      <c r="N53">
        <v>268.25099999999998</v>
      </c>
      <c r="O53">
        <v>144.05600000000001</v>
      </c>
      <c r="P53">
        <v>88.096999999999994</v>
      </c>
      <c r="Q53">
        <v>36.515000000000001</v>
      </c>
      <c r="R53">
        <v>-0.44400000000000001</v>
      </c>
      <c r="T53">
        <v>4300</v>
      </c>
      <c r="U53">
        <v>20.786000000000001</v>
      </c>
      <c r="V53">
        <v>170.19</v>
      </c>
      <c r="W53">
        <v>150.845</v>
      </c>
      <c r="X53">
        <v>83.183000000000007</v>
      </c>
      <c r="Y53">
        <v>231.83600000000001</v>
      </c>
      <c r="Z53">
        <v>-34.082000000000001</v>
      </c>
      <c r="AA53">
        <v>0.41399999999999998</v>
      </c>
      <c r="AC53">
        <v>4300</v>
      </c>
      <c r="AD53">
        <v>21.445</v>
      </c>
      <c r="AE53">
        <v>217.31800000000001</v>
      </c>
      <c r="AF53">
        <v>197.76300000000001</v>
      </c>
      <c r="AG53">
        <v>84.087000000000003</v>
      </c>
      <c r="AH53">
        <v>257.666</v>
      </c>
      <c r="AI53">
        <v>-33.582999999999998</v>
      </c>
      <c r="AJ53">
        <v>0.40799999999999997</v>
      </c>
      <c r="AL53">
        <v>4300</v>
      </c>
      <c r="AM53">
        <v>38.15</v>
      </c>
      <c r="AN53">
        <v>270.31099999999998</v>
      </c>
      <c r="AO53">
        <v>238.13800000000001</v>
      </c>
      <c r="AP53">
        <v>138.345</v>
      </c>
      <c r="AQ53">
        <v>32.390999999999998</v>
      </c>
      <c r="AR53">
        <v>-20.832999999999998</v>
      </c>
      <c r="AS53">
        <v>0.253</v>
      </c>
      <c r="AU53">
        <v>4300</v>
      </c>
      <c r="AV53">
        <v>41.798000000000002</v>
      </c>
      <c r="AW53">
        <v>299.17099999999999</v>
      </c>
      <c r="AX53">
        <v>264.01100000000002</v>
      </c>
      <c r="AY53">
        <v>151.18799999999999</v>
      </c>
      <c r="AZ53">
        <v>0</v>
      </c>
      <c r="BA53">
        <v>0</v>
      </c>
      <c r="BB53">
        <v>0</v>
      </c>
      <c r="BD53">
        <v>4300</v>
      </c>
      <c r="BE53">
        <v>39.664999999999999</v>
      </c>
      <c r="BF53">
        <v>216.696</v>
      </c>
      <c r="BG53">
        <v>184.44200000000001</v>
      </c>
      <c r="BH53">
        <v>138.69200000000001</v>
      </c>
      <c r="BI53">
        <v>0</v>
      </c>
      <c r="BJ53">
        <v>0</v>
      </c>
      <c r="BK53">
        <v>0</v>
      </c>
      <c r="BM53">
        <v>4300</v>
      </c>
      <c r="BN53">
        <v>37.665999999999997</v>
      </c>
      <c r="BO53">
        <v>280.34100000000001</v>
      </c>
      <c r="BP53">
        <v>247.47900000000001</v>
      </c>
      <c r="BQ53">
        <v>141.309</v>
      </c>
      <c r="BR53">
        <v>0</v>
      </c>
      <c r="BS53">
        <v>0</v>
      </c>
      <c r="BT53">
        <v>0</v>
      </c>
    </row>
    <row r="54" spans="2:72" x14ac:dyDescent="0.25">
      <c r="B54">
        <v>4700</v>
      </c>
      <c r="C54">
        <v>59.043999999999997</v>
      </c>
      <c r="D54">
        <v>312.32900000000001</v>
      </c>
      <c r="E54">
        <v>264.553</v>
      </c>
      <c r="F54">
        <v>224.548</v>
      </c>
      <c r="G54">
        <v>-255.97800000000001</v>
      </c>
      <c r="H54">
        <v>23.111000000000001</v>
      </c>
      <c r="I54">
        <v>-0.25700000000000001</v>
      </c>
      <c r="K54">
        <v>4400</v>
      </c>
      <c r="L54">
        <v>38.030999999999999</v>
      </c>
      <c r="M54">
        <v>302.62599999999998</v>
      </c>
      <c r="N54">
        <v>269.02199999999999</v>
      </c>
      <c r="O54">
        <v>147.857</v>
      </c>
      <c r="P54">
        <v>87.921999999999997</v>
      </c>
      <c r="Q54">
        <v>35.317999999999998</v>
      </c>
      <c r="R54">
        <v>-0.41899999999999998</v>
      </c>
      <c r="T54">
        <v>4400</v>
      </c>
      <c r="U54">
        <v>20.786000000000001</v>
      </c>
      <c r="V54">
        <v>170.667</v>
      </c>
      <c r="W54">
        <v>151.29</v>
      </c>
      <c r="X54">
        <v>85.260999999999996</v>
      </c>
      <c r="Y54">
        <v>231.92699999999999</v>
      </c>
      <c r="Z54">
        <v>-40.267000000000003</v>
      </c>
      <c r="AA54">
        <v>0.47799999999999998</v>
      </c>
      <c r="AC54">
        <v>4400</v>
      </c>
      <c r="AD54">
        <v>21.495000000000001</v>
      </c>
      <c r="AE54">
        <v>217.81200000000001</v>
      </c>
      <c r="AF54">
        <v>198.21299999999999</v>
      </c>
      <c r="AG54">
        <v>86.233999999999995</v>
      </c>
      <c r="AH54">
        <v>257.72000000000003</v>
      </c>
      <c r="AI54">
        <v>-40.357999999999997</v>
      </c>
      <c r="AJ54">
        <v>0.47899999999999998</v>
      </c>
      <c r="AL54">
        <v>4400</v>
      </c>
      <c r="AM54">
        <v>38.232999999999997</v>
      </c>
      <c r="AN54">
        <v>271.18900000000002</v>
      </c>
      <c r="AO54">
        <v>238.87899999999999</v>
      </c>
      <c r="AP54">
        <v>142.16399999999999</v>
      </c>
      <c r="AQ54">
        <v>32.130000000000003</v>
      </c>
      <c r="AR54">
        <v>-22.068000000000001</v>
      </c>
      <c r="AS54">
        <v>0.26200000000000001</v>
      </c>
      <c r="AU54">
        <v>4400</v>
      </c>
      <c r="AV54">
        <v>41.92</v>
      </c>
      <c r="AW54">
        <v>300.13299999999998</v>
      </c>
      <c r="AX54">
        <v>264.82100000000003</v>
      </c>
      <c r="AY54">
        <v>155.374</v>
      </c>
      <c r="AZ54">
        <v>0</v>
      </c>
      <c r="BA54">
        <v>0</v>
      </c>
      <c r="BB54">
        <v>0</v>
      </c>
      <c r="BD54">
        <v>4400</v>
      </c>
      <c r="BE54">
        <v>39.841999999999999</v>
      </c>
      <c r="BF54">
        <v>217.61</v>
      </c>
      <c r="BG54">
        <v>185.18600000000001</v>
      </c>
      <c r="BH54">
        <v>142.667</v>
      </c>
      <c r="BI54">
        <v>0</v>
      </c>
      <c r="BJ54">
        <v>0</v>
      </c>
      <c r="BK54">
        <v>0</v>
      </c>
      <c r="BM54">
        <v>4400</v>
      </c>
      <c r="BN54">
        <v>37.701999999999998</v>
      </c>
      <c r="BO54">
        <v>281.20800000000003</v>
      </c>
      <c r="BP54">
        <v>248.23599999999999</v>
      </c>
      <c r="BQ54">
        <v>145.078</v>
      </c>
      <c r="BR54">
        <v>0</v>
      </c>
      <c r="BS54">
        <v>0</v>
      </c>
      <c r="BT54">
        <v>0</v>
      </c>
    </row>
    <row r="55" spans="2:72" x14ac:dyDescent="0.25">
      <c r="B55">
        <v>4800</v>
      </c>
      <c r="C55">
        <v>59.164000000000001</v>
      </c>
      <c r="D55">
        <v>313.57400000000001</v>
      </c>
      <c r="E55">
        <v>265.56200000000001</v>
      </c>
      <c r="F55">
        <v>230.458</v>
      </c>
      <c r="G55">
        <v>-256.22899999999998</v>
      </c>
      <c r="H55">
        <v>29.052</v>
      </c>
      <c r="I55">
        <v>-0.316</v>
      </c>
      <c r="K55">
        <v>4500</v>
      </c>
      <c r="L55">
        <v>38.061999999999998</v>
      </c>
      <c r="M55">
        <v>303.48099999999999</v>
      </c>
      <c r="N55">
        <v>269.77800000000002</v>
      </c>
      <c r="O55">
        <v>151.66200000000001</v>
      </c>
      <c r="P55">
        <v>87.741</v>
      </c>
      <c r="Q55">
        <v>34.124000000000002</v>
      </c>
      <c r="R55">
        <v>-0.39600000000000002</v>
      </c>
      <c r="T55">
        <v>4500</v>
      </c>
      <c r="U55">
        <v>20.786000000000001</v>
      </c>
      <c r="V55">
        <v>171.13499999999999</v>
      </c>
      <c r="W55">
        <v>151.726</v>
      </c>
      <c r="X55">
        <v>87.34</v>
      </c>
      <c r="Y55">
        <v>232.00899999999999</v>
      </c>
      <c r="Z55">
        <v>-46.454000000000001</v>
      </c>
      <c r="AA55">
        <v>0.53900000000000003</v>
      </c>
      <c r="AC55">
        <v>4500</v>
      </c>
      <c r="AD55">
        <v>21.545000000000002</v>
      </c>
      <c r="AE55">
        <v>218.29499999999999</v>
      </c>
      <c r="AF55">
        <v>198.654</v>
      </c>
      <c r="AG55">
        <v>88.385999999999996</v>
      </c>
      <c r="AH55">
        <v>257.77300000000002</v>
      </c>
      <c r="AI55">
        <v>-47.133000000000003</v>
      </c>
      <c r="AJ55">
        <v>0.54700000000000004</v>
      </c>
      <c r="AL55">
        <v>4500</v>
      </c>
      <c r="AM55">
        <v>38.314999999999998</v>
      </c>
      <c r="AN55">
        <v>272.05</v>
      </c>
      <c r="AO55">
        <v>239.607</v>
      </c>
      <c r="AP55">
        <v>145.99100000000001</v>
      </c>
      <c r="AQ55">
        <v>31.861999999999998</v>
      </c>
      <c r="AR55">
        <v>-23.297000000000001</v>
      </c>
      <c r="AS55">
        <v>0.27</v>
      </c>
      <c r="AU55">
        <v>4500</v>
      </c>
      <c r="AV55">
        <v>42.042000000000002</v>
      </c>
      <c r="AW55">
        <v>301.07600000000002</v>
      </c>
      <c r="AX55">
        <v>265.61599999999999</v>
      </c>
      <c r="AY55">
        <v>159.572</v>
      </c>
      <c r="AZ55">
        <v>0</v>
      </c>
      <c r="BA55">
        <v>0</v>
      </c>
      <c r="BB55">
        <v>0</v>
      </c>
      <c r="BD55">
        <v>4500</v>
      </c>
      <c r="BE55">
        <v>40.017000000000003</v>
      </c>
      <c r="BF55">
        <v>218.50800000000001</v>
      </c>
      <c r="BG55">
        <v>185.916</v>
      </c>
      <c r="BH55">
        <v>146.66</v>
      </c>
      <c r="BI55">
        <v>0</v>
      </c>
      <c r="BJ55">
        <v>0</v>
      </c>
      <c r="BK55">
        <v>0</v>
      </c>
      <c r="BM55">
        <v>4500</v>
      </c>
      <c r="BN55">
        <v>37.738</v>
      </c>
      <c r="BO55">
        <v>282.05599999999998</v>
      </c>
      <c r="BP55">
        <v>248.97800000000001</v>
      </c>
      <c r="BQ55">
        <v>148.85</v>
      </c>
      <c r="BR55">
        <v>0</v>
      </c>
      <c r="BS55">
        <v>0</v>
      </c>
      <c r="BT55">
        <v>0</v>
      </c>
    </row>
    <row r="56" spans="2:72" x14ac:dyDescent="0.25">
      <c r="B56">
        <v>4900</v>
      </c>
      <c r="C56">
        <v>59.274999999999999</v>
      </c>
      <c r="D56">
        <v>314.79500000000002</v>
      </c>
      <c r="E56">
        <v>266.55399999999997</v>
      </c>
      <c r="F56">
        <v>236.38</v>
      </c>
      <c r="G56">
        <v>-256.49099999999999</v>
      </c>
      <c r="H56">
        <v>34.997999999999998</v>
      </c>
      <c r="I56">
        <v>-0.373</v>
      </c>
      <c r="K56">
        <v>4600</v>
      </c>
      <c r="L56">
        <v>38.091999999999999</v>
      </c>
      <c r="M56">
        <v>304.31799999999998</v>
      </c>
      <c r="N56">
        <v>270.52</v>
      </c>
      <c r="O56">
        <v>155.46899999999999</v>
      </c>
      <c r="P56">
        <v>87.555999999999997</v>
      </c>
      <c r="Q56">
        <v>32.933999999999997</v>
      </c>
      <c r="R56">
        <v>-0.374</v>
      </c>
      <c r="T56">
        <v>4600</v>
      </c>
      <c r="U56">
        <v>20.786000000000001</v>
      </c>
      <c r="V56">
        <v>171.59100000000001</v>
      </c>
      <c r="W56">
        <v>152.15299999999999</v>
      </c>
      <c r="X56">
        <v>89.418000000000006</v>
      </c>
      <c r="Y56">
        <v>232.08199999999999</v>
      </c>
      <c r="Z56">
        <v>-52.643000000000001</v>
      </c>
      <c r="AA56">
        <v>0.59799999999999998</v>
      </c>
      <c r="AC56">
        <v>4600</v>
      </c>
      <c r="AD56">
        <v>21.596</v>
      </c>
      <c r="AE56">
        <v>218.76900000000001</v>
      </c>
      <c r="AF56">
        <v>199.08600000000001</v>
      </c>
      <c r="AG56">
        <v>90.543000000000006</v>
      </c>
      <c r="AH56">
        <v>257.82499999999999</v>
      </c>
      <c r="AI56">
        <v>-53.908999999999999</v>
      </c>
      <c r="AJ56">
        <v>0.61199999999999999</v>
      </c>
      <c r="AL56">
        <v>4600</v>
      </c>
      <c r="AM56">
        <v>38.393999999999998</v>
      </c>
      <c r="AN56">
        <v>272.89299999999997</v>
      </c>
      <c r="AO56">
        <v>240.322</v>
      </c>
      <c r="AP56">
        <v>149.827</v>
      </c>
      <c r="AQ56">
        <v>31.587</v>
      </c>
      <c r="AR56">
        <v>-24.52</v>
      </c>
      <c r="AS56">
        <v>0.27800000000000002</v>
      </c>
      <c r="AU56">
        <v>4600</v>
      </c>
      <c r="AV56">
        <v>42.164000000000001</v>
      </c>
      <c r="AW56">
        <v>302.00200000000001</v>
      </c>
      <c r="AX56">
        <v>266.39699999999999</v>
      </c>
      <c r="AY56">
        <v>163.78299999999999</v>
      </c>
      <c r="AZ56">
        <v>0</v>
      </c>
      <c r="BA56">
        <v>0</v>
      </c>
      <c r="BB56">
        <v>0</v>
      </c>
      <c r="BD56">
        <v>4600</v>
      </c>
      <c r="BE56">
        <v>40.188000000000002</v>
      </c>
      <c r="BF56">
        <v>219.38900000000001</v>
      </c>
      <c r="BG56">
        <v>186.63499999999999</v>
      </c>
      <c r="BH56">
        <v>150.66999999999999</v>
      </c>
      <c r="BI56">
        <v>0</v>
      </c>
      <c r="BJ56">
        <v>0</v>
      </c>
      <c r="BK56">
        <v>0</v>
      </c>
      <c r="BM56">
        <v>4600</v>
      </c>
      <c r="BN56">
        <v>37.773000000000003</v>
      </c>
      <c r="BO56">
        <v>282.88499999999999</v>
      </c>
      <c r="BP56">
        <v>249.70599999999999</v>
      </c>
      <c r="BQ56">
        <v>152.625</v>
      </c>
      <c r="BR56">
        <v>0</v>
      </c>
      <c r="BS56">
        <v>0</v>
      </c>
      <c r="BT56">
        <v>0</v>
      </c>
    </row>
    <row r="57" spans="2:72" x14ac:dyDescent="0.25">
      <c r="B57">
        <v>5000</v>
      </c>
      <c r="C57">
        <v>59.39</v>
      </c>
      <c r="D57">
        <v>315.99299999999999</v>
      </c>
      <c r="E57">
        <v>267.53100000000001</v>
      </c>
      <c r="F57">
        <v>242.31299999999999</v>
      </c>
      <c r="G57">
        <v>-256.76299999999998</v>
      </c>
      <c r="H57">
        <v>40.948999999999998</v>
      </c>
      <c r="I57">
        <v>-0.42799999999999999</v>
      </c>
      <c r="K57">
        <v>4700</v>
      </c>
      <c r="L57">
        <v>38.122</v>
      </c>
      <c r="M57">
        <v>305.137</v>
      </c>
      <c r="N57">
        <v>271.24799999999999</v>
      </c>
      <c r="O57">
        <v>159.28</v>
      </c>
      <c r="P57">
        <v>87.366</v>
      </c>
      <c r="Q57">
        <v>31.748999999999999</v>
      </c>
      <c r="R57">
        <v>-0.35299999999999998</v>
      </c>
      <c r="T57">
        <v>4700</v>
      </c>
      <c r="U57">
        <v>20.786000000000001</v>
      </c>
      <c r="V57">
        <v>172.03800000000001</v>
      </c>
      <c r="W57">
        <v>152.571</v>
      </c>
      <c r="X57">
        <v>91.497</v>
      </c>
      <c r="Y57">
        <v>232.14699999999999</v>
      </c>
      <c r="Z57">
        <v>-58.834000000000003</v>
      </c>
      <c r="AA57">
        <v>0.65400000000000003</v>
      </c>
      <c r="AC57">
        <v>4700</v>
      </c>
      <c r="AD57">
        <v>21.646999999999998</v>
      </c>
      <c r="AE57">
        <v>219.23400000000001</v>
      </c>
      <c r="AF57">
        <v>199.51</v>
      </c>
      <c r="AG57">
        <v>92.704999999999998</v>
      </c>
      <c r="AH57">
        <v>257.87599999999998</v>
      </c>
      <c r="AI57">
        <v>-60.686999999999998</v>
      </c>
      <c r="AJ57">
        <v>0.67400000000000004</v>
      </c>
      <c r="AL57">
        <v>4700</v>
      </c>
      <c r="AM57">
        <v>38.472000000000001</v>
      </c>
      <c r="AN57">
        <v>273.71899999999999</v>
      </c>
      <c r="AO57">
        <v>241.023</v>
      </c>
      <c r="AP57">
        <v>153.66999999999999</v>
      </c>
      <c r="AQ57">
        <v>31.305</v>
      </c>
      <c r="AR57">
        <v>-25.736999999999998</v>
      </c>
      <c r="AS57">
        <v>0.28599999999999998</v>
      </c>
      <c r="AU57">
        <v>4700</v>
      </c>
      <c r="AV57">
        <v>42.286999999999999</v>
      </c>
      <c r="AW57">
        <v>302.91000000000003</v>
      </c>
      <c r="AX57">
        <v>267.16399999999999</v>
      </c>
      <c r="AY57">
        <v>168.005</v>
      </c>
      <c r="AZ57">
        <v>0</v>
      </c>
      <c r="BA57">
        <v>0</v>
      </c>
      <c r="BB57">
        <v>0</v>
      </c>
      <c r="BD57">
        <v>4700</v>
      </c>
      <c r="BE57">
        <v>40.354999999999997</v>
      </c>
      <c r="BF57">
        <v>220.255</v>
      </c>
      <c r="BG57">
        <v>187.34100000000001</v>
      </c>
      <c r="BH57">
        <v>154.69800000000001</v>
      </c>
      <c r="BI57">
        <v>0</v>
      </c>
      <c r="BJ57">
        <v>0</v>
      </c>
      <c r="BK57">
        <v>0</v>
      </c>
      <c r="BM57">
        <v>4700</v>
      </c>
      <c r="BN57">
        <v>37.808</v>
      </c>
      <c r="BO57">
        <v>283.69799999999998</v>
      </c>
      <c r="BP57">
        <v>250.42</v>
      </c>
      <c r="BQ57">
        <v>156.405</v>
      </c>
      <c r="BR57">
        <v>0</v>
      </c>
      <c r="BS57">
        <v>0</v>
      </c>
      <c r="BT57">
        <v>0</v>
      </c>
    </row>
    <row r="58" spans="2:72" x14ac:dyDescent="0.25">
      <c r="B58">
        <v>5100</v>
      </c>
      <c r="C58">
        <v>59.509</v>
      </c>
      <c r="D58">
        <v>317.17099999999999</v>
      </c>
      <c r="E58">
        <v>268.49299999999999</v>
      </c>
      <c r="F58">
        <v>248.25800000000001</v>
      </c>
      <c r="G58">
        <v>-257.04599999999999</v>
      </c>
      <c r="H58">
        <v>46.905999999999999</v>
      </c>
      <c r="I58">
        <v>-0.48</v>
      </c>
      <c r="K58">
        <v>4800</v>
      </c>
      <c r="L58">
        <v>38.151000000000003</v>
      </c>
      <c r="M58">
        <v>305.94</v>
      </c>
      <c r="N58">
        <v>271.96199999999999</v>
      </c>
      <c r="O58">
        <v>163.09399999999999</v>
      </c>
      <c r="P58">
        <v>87.171000000000006</v>
      </c>
      <c r="Q58">
        <v>30.568000000000001</v>
      </c>
      <c r="R58">
        <v>-0.33300000000000002</v>
      </c>
      <c r="T58">
        <v>4800</v>
      </c>
      <c r="U58">
        <v>20.786000000000001</v>
      </c>
      <c r="V58">
        <v>172.476</v>
      </c>
      <c r="W58">
        <v>152.98099999999999</v>
      </c>
      <c r="X58">
        <v>93.575999999999993</v>
      </c>
      <c r="Y58">
        <v>232.20400000000001</v>
      </c>
      <c r="Z58">
        <v>-65.025000000000006</v>
      </c>
      <c r="AA58">
        <v>0.70799999999999996</v>
      </c>
      <c r="AC58">
        <v>4800</v>
      </c>
      <c r="AD58">
        <v>21.696999999999999</v>
      </c>
      <c r="AE58">
        <v>219.69</v>
      </c>
      <c r="AF58">
        <v>199.92500000000001</v>
      </c>
      <c r="AG58">
        <v>94.872</v>
      </c>
      <c r="AH58">
        <v>257.92599999999999</v>
      </c>
      <c r="AI58">
        <v>-67.465000000000003</v>
      </c>
      <c r="AJ58">
        <v>0.73399999999999999</v>
      </c>
      <c r="AL58">
        <v>4800</v>
      </c>
      <c r="AM58">
        <v>38.548999999999999</v>
      </c>
      <c r="AN58">
        <v>274.52999999999997</v>
      </c>
      <c r="AO58">
        <v>241.71299999999999</v>
      </c>
      <c r="AP58">
        <v>157.52099999999999</v>
      </c>
      <c r="AQ58">
        <v>31.016999999999999</v>
      </c>
      <c r="AR58">
        <v>-26.946999999999999</v>
      </c>
      <c r="AS58">
        <v>0.29299999999999998</v>
      </c>
      <c r="AU58">
        <v>4800</v>
      </c>
      <c r="AV58">
        <v>42.412999999999997</v>
      </c>
      <c r="AW58">
        <v>303.80099999999999</v>
      </c>
      <c r="AX58">
        <v>267.91800000000001</v>
      </c>
      <c r="AY58">
        <v>172.24</v>
      </c>
      <c r="AZ58">
        <v>0</v>
      </c>
      <c r="BA58">
        <v>0</v>
      </c>
      <c r="BB58">
        <v>0</v>
      </c>
      <c r="BD58">
        <v>4800</v>
      </c>
      <c r="BE58">
        <v>40.518000000000001</v>
      </c>
      <c r="BF58">
        <v>221.10599999999999</v>
      </c>
      <c r="BG58">
        <v>188.035</v>
      </c>
      <c r="BH58">
        <v>158.74100000000001</v>
      </c>
      <c r="BI58">
        <v>0</v>
      </c>
      <c r="BJ58">
        <v>0</v>
      </c>
      <c r="BK58">
        <v>0</v>
      </c>
      <c r="BM58">
        <v>4800</v>
      </c>
      <c r="BN58">
        <v>37.843000000000004</v>
      </c>
      <c r="BO58">
        <v>284.49400000000003</v>
      </c>
      <c r="BP58">
        <v>251.12200000000001</v>
      </c>
      <c r="BQ58">
        <v>160.18700000000001</v>
      </c>
      <c r="BR58">
        <v>0</v>
      </c>
      <c r="BS58">
        <v>0</v>
      </c>
      <c r="BT58">
        <v>0</v>
      </c>
    </row>
    <row r="59" spans="2:72" x14ac:dyDescent="0.25">
      <c r="B59">
        <v>5200</v>
      </c>
      <c r="C59">
        <v>59.628</v>
      </c>
      <c r="D59">
        <v>318.327</v>
      </c>
      <c r="E59">
        <v>269.44</v>
      </c>
      <c r="F59">
        <v>254.215</v>
      </c>
      <c r="G59">
        <v>-257.33800000000002</v>
      </c>
      <c r="H59">
        <v>52.869</v>
      </c>
      <c r="I59">
        <v>-0.53100000000000003</v>
      </c>
      <c r="K59">
        <v>4900</v>
      </c>
      <c r="L59">
        <v>38.18</v>
      </c>
      <c r="M59">
        <v>306.72699999999998</v>
      </c>
      <c r="N59">
        <v>272.66399999999999</v>
      </c>
      <c r="O59">
        <v>166.91</v>
      </c>
      <c r="P59">
        <v>86.97</v>
      </c>
      <c r="Q59">
        <v>29.390999999999998</v>
      </c>
      <c r="R59">
        <v>-0.313</v>
      </c>
      <c r="T59">
        <v>4900</v>
      </c>
      <c r="U59">
        <v>20.786000000000001</v>
      </c>
      <c r="V59">
        <v>172.905</v>
      </c>
      <c r="W59">
        <v>153.38300000000001</v>
      </c>
      <c r="X59">
        <v>95.653999999999996</v>
      </c>
      <c r="Y59">
        <v>232.25299999999999</v>
      </c>
      <c r="Z59">
        <v>-71.218000000000004</v>
      </c>
      <c r="AA59">
        <v>0.75900000000000001</v>
      </c>
      <c r="AC59">
        <v>4900</v>
      </c>
      <c r="AD59">
        <v>21.748000000000001</v>
      </c>
      <c r="AE59">
        <v>220.13800000000001</v>
      </c>
      <c r="AF59">
        <v>200.333</v>
      </c>
      <c r="AG59">
        <v>97.045000000000002</v>
      </c>
      <c r="AH59">
        <v>257.97399999999999</v>
      </c>
      <c r="AI59">
        <v>-74.244</v>
      </c>
      <c r="AJ59">
        <v>0.79100000000000004</v>
      </c>
      <c r="AL59">
        <v>4900</v>
      </c>
      <c r="AM59">
        <v>38.625</v>
      </c>
      <c r="AN59">
        <v>275.32600000000002</v>
      </c>
      <c r="AO59">
        <v>242.39099999999999</v>
      </c>
      <c r="AP59">
        <v>161.38</v>
      </c>
      <c r="AQ59">
        <v>30.722000000000001</v>
      </c>
      <c r="AR59">
        <v>-28.152000000000001</v>
      </c>
      <c r="AS59">
        <v>0.3</v>
      </c>
      <c r="AU59">
        <v>4900</v>
      </c>
      <c r="AV59">
        <v>42.542000000000002</v>
      </c>
      <c r="AW59">
        <v>304.67700000000002</v>
      </c>
      <c r="AX59">
        <v>268.66000000000003</v>
      </c>
      <c r="AY59">
        <v>176.488</v>
      </c>
      <c r="AZ59">
        <v>0</v>
      </c>
      <c r="BA59">
        <v>0</v>
      </c>
      <c r="BB59">
        <v>0</v>
      </c>
      <c r="BD59">
        <v>4900</v>
      </c>
      <c r="BE59">
        <v>40.676000000000002</v>
      </c>
      <c r="BF59">
        <v>221.94300000000001</v>
      </c>
      <c r="BG59">
        <v>188.71899999999999</v>
      </c>
      <c r="BH59">
        <v>162.80099999999999</v>
      </c>
      <c r="BI59">
        <v>0</v>
      </c>
      <c r="BJ59">
        <v>0</v>
      </c>
      <c r="BK59">
        <v>0</v>
      </c>
      <c r="BM59">
        <v>4900</v>
      </c>
      <c r="BN59">
        <v>37.878</v>
      </c>
      <c r="BO59">
        <v>285.27499999999998</v>
      </c>
      <c r="BP59">
        <v>251.81100000000001</v>
      </c>
      <c r="BQ59">
        <v>163.97300000000001</v>
      </c>
      <c r="BR59">
        <v>0</v>
      </c>
      <c r="BS59">
        <v>0</v>
      </c>
      <c r="BT59">
        <v>0</v>
      </c>
    </row>
    <row r="60" spans="2:72" x14ac:dyDescent="0.25">
      <c r="B60">
        <v>5300</v>
      </c>
      <c r="C60">
        <v>59.746000000000002</v>
      </c>
      <c r="D60">
        <v>319.464</v>
      </c>
      <c r="E60">
        <v>270.37299999999999</v>
      </c>
      <c r="F60">
        <v>260.18400000000003</v>
      </c>
      <c r="G60">
        <v>-257.63900000000001</v>
      </c>
      <c r="H60">
        <v>58.838000000000001</v>
      </c>
      <c r="I60">
        <v>-0.57999999999999996</v>
      </c>
      <c r="K60">
        <v>5000</v>
      </c>
      <c r="L60">
        <v>38.207999999999998</v>
      </c>
      <c r="M60">
        <v>307.49900000000002</v>
      </c>
      <c r="N60">
        <v>273.35300000000001</v>
      </c>
      <c r="O60">
        <v>170.73</v>
      </c>
      <c r="P60">
        <v>86.765000000000001</v>
      </c>
      <c r="Q60">
        <v>28.218</v>
      </c>
      <c r="R60">
        <v>-0.29499999999999998</v>
      </c>
      <c r="T60">
        <v>5000</v>
      </c>
      <c r="U60">
        <v>20.786000000000001</v>
      </c>
      <c r="V60">
        <v>173.32499999999999</v>
      </c>
      <c r="W60">
        <v>153.77799999999999</v>
      </c>
      <c r="X60">
        <v>97.733000000000004</v>
      </c>
      <c r="Y60">
        <v>232.29400000000001</v>
      </c>
      <c r="Z60">
        <v>-77.412000000000006</v>
      </c>
      <c r="AA60">
        <v>0.80900000000000005</v>
      </c>
      <c r="AC60">
        <v>5000</v>
      </c>
      <c r="AD60">
        <v>21.798999999999999</v>
      </c>
      <c r="AE60">
        <v>220.578</v>
      </c>
      <c r="AF60">
        <v>200.73400000000001</v>
      </c>
      <c r="AG60">
        <v>99.221999999999994</v>
      </c>
      <c r="AH60">
        <v>258.02100000000002</v>
      </c>
      <c r="AI60">
        <v>-81.025000000000006</v>
      </c>
      <c r="AJ60">
        <v>0.84599999999999997</v>
      </c>
      <c r="AL60">
        <v>5000</v>
      </c>
      <c r="AM60">
        <v>38.698999999999998</v>
      </c>
      <c r="AN60">
        <v>276.10700000000003</v>
      </c>
      <c r="AO60">
        <v>243.05699999999999</v>
      </c>
      <c r="AP60">
        <v>165.24600000000001</v>
      </c>
      <c r="AQ60">
        <v>30.42</v>
      </c>
      <c r="AR60">
        <v>-29.35</v>
      </c>
      <c r="AS60">
        <v>0.307</v>
      </c>
      <c r="AU60">
        <v>5000</v>
      </c>
      <c r="AV60">
        <v>42.674999999999997</v>
      </c>
      <c r="AW60">
        <v>305.53800000000001</v>
      </c>
      <c r="AX60">
        <v>269.38900000000001</v>
      </c>
      <c r="AY60">
        <v>180.749</v>
      </c>
      <c r="AZ60">
        <v>0</v>
      </c>
      <c r="BA60">
        <v>0</v>
      </c>
      <c r="BB60">
        <v>0</v>
      </c>
      <c r="BD60">
        <v>5000</v>
      </c>
      <c r="BE60">
        <v>40.829000000000001</v>
      </c>
      <c r="BF60">
        <v>222.767</v>
      </c>
      <c r="BG60">
        <v>189.392</v>
      </c>
      <c r="BH60">
        <v>166.876</v>
      </c>
      <c r="BI60">
        <v>0</v>
      </c>
      <c r="BJ60">
        <v>0</v>
      </c>
      <c r="BK60">
        <v>0</v>
      </c>
      <c r="BM60">
        <v>5000</v>
      </c>
      <c r="BN60">
        <v>37.911999999999999</v>
      </c>
      <c r="BO60">
        <v>286.041</v>
      </c>
      <c r="BP60">
        <v>252.488</v>
      </c>
      <c r="BQ60">
        <v>167.76300000000001</v>
      </c>
      <c r="BR60">
        <v>0</v>
      </c>
      <c r="BS60">
        <v>0</v>
      </c>
      <c r="BT60">
        <v>0</v>
      </c>
    </row>
    <row r="61" spans="2:72" x14ac:dyDescent="0.25">
      <c r="B61">
        <v>5400</v>
      </c>
      <c r="C61">
        <v>59.863999999999997</v>
      </c>
      <c r="D61">
        <v>320.58199999999999</v>
      </c>
      <c r="E61">
        <v>271.29300000000001</v>
      </c>
      <c r="F61">
        <v>266.16399999999999</v>
      </c>
      <c r="G61">
        <v>-257.95</v>
      </c>
      <c r="H61">
        <v>64.811000000000007</v>
      </c>
      <c r="I61">
        <v>-0.627</v>
      </c>
      <c r="K61">
        <v>5100</v>
      </c>
      <c r="L61">
        <v>38.234999999999999</v>
      </c>
      <c r="M61">
        <v>308.25599999999997</v>
      </c>
      <c r="N61">
        <v>274.02999999999997</v>
      </c>
      <c r="O61">
        <v>174.55199999999999</v>
      </c>
      <c r="P61">
        <v>86.552999999999997</v>
      </c>
      <c r="Q61">
        <v>27.048999999999999</v>
      </c>
      <c r="R61">
        <v>-0.27700000000000002</v>
      </c>
      <c r="T61">
        <v>5100</v>
      </c>
      <c r="U61">
        <v>20.786000000000001</v>
      </c>
      <c r="V61">
        <v>173.73599999999999</v>
      </c>
      <c r="W61">
        <v>154.16499999999999</v>
      </c>
      <c r="X61">
        <v>99.811000000000007</v>
      </c>
      <c r="Y61">
        <v>232.327</v>
      </c>
      <c r="Z61">
        <v>-83.605999999999995</v>
      </c>
      <c r="AA61">
        <v>0.85599999999999998</v>
      </c>
      <c r="AC61">
        <v>5100</v>
      </c>
      <c r="AD61">
        <v>21.849</v>
      </c>
      <c r="AE61">
        <v>221.01</v>
      </c>
      <c r="AF61">
        <v>201.12700000000001</v>
      </c>
      <c r="AG61">
        <v>101.405</v>
      </c>
      <c r="AH61">
        <v>258.06599999999997</v>
      </c>
      <c r="AI61">
        <v>-87.805999999999997</v>
      </c>
      <c r="AJ61">
        <v>0.89900000000000002</v>
      </c>
      <c r="AL61">
        <v>5100</v>
      </c>
      <c r="AM61">
        <v>38.773000000000003</v>
      </c>
      <c r="AN61">
        <v>276.87400000000002</v>
      </c>
      <c r="AO61">
        <v>243.71299999999999</v>
      </c>
      <c r="AP61">
        <v>169.12</v>
      </c>
      <c r="AQ61">
        <v>30.111000000000001</v>
      </c>
      <c r="AR61">
        <v>-30.542000000000002</v>
      </c>
      <c r="AS61">
        <v>0.313</v>
      </c>
      <c r="AU61">
        <v>5100</v>
      </c>
      <c r="AV61">
        <v>42.813000000000002</v>
      </c>
      <c r="AW61">
        <v>306.38499999999999</v>
      </c>
      <c r="AX61">
        <v>270.10599999999999</v>
      </c>
      <c r="AY61">
        <v>185.023</v>
      </c>
      <c r="AZ61">
        <v>0</v>
      </c>
      <c r="BA61">
        <v>0</v>
      </c>
      <c r="BB61">
        <v>0</v>
      </c>
      <c r="BD61">
        <v>5100</v>
      </c>
      <c r="BE61">
        <v>40.975999999999999</v>
      </c>
      <c r="BF61">
        <v>223.577</v>
      </c>
      <c r="BG61">
        <v>190.054</v>
      </c>
      <c r="BH61">
        <v>170.96700000000001</v>
      </c>
      <c r="BI61">
        <v>0</v>
      </c>
      <c r="BJ61">
        <v>0</v>
      </c>
      <c r="BK61">
        <v>0</v>
      </c>
      <c r="BM61">
        <v>5100</v>
      </c>
      <c r="BN61">
        <v>37.947000000000003</v>
      </c>
      <c r="BO61">
        <v>286.79199999999997</v>
      </c>
      <c r="BP61">
        <v>253.15299999999999</v>
      </c>
      <c r="BQ61">
        <v>171.55600000000001</v>
      </c>
      <c r="BR61">
        <v>0</v>
      </c>
      <c r="BS61">
        <v>0</v>
      </c>
      <c r="BT61">
        <v>0</v>
      </c>
    </row>
    <row r="62" spans="2:72" x14ac:dyDescent="0.25">
      <c r="B62">
        <v>5500</v>
      </c>
      <c r="C62">
        <v>59.981999999999999</v>
      </c>
      <c r="D62">
        <v>321.68200000000002</v>
      </c>
      <c r="E62">
        <v>272.19900000000001</v>
      </c>
      <c r="F62">
        <v>272.15699999999998</v>
      </c>
      <c r="G62">
        <v>-258.26799999999997</v>
      </c>
      <c r="H62">
        <v>70.790999999999997</v>
      </c>
      <c r="I62">
        <v>-0.67200000000000004</v>
      </c>
      <c r="K62">
        <v>5200</v>
      </c>
      <c r="L62">
        <v>38.262</v>
      </c>
      <c r="M62">
        <v>308.99799999999999</v>
      </c>
      <c r="N62">
        <v>274.69499999999999</v>
      </c>
      <c r="O62">
        <v>178.37700000000001</v>
      </c>
      <c r="P62">
        <v>86.335999999999999</v>
      </c>
      <c r="Q62">
        <v>25.884</v>
      </c>
      <c r="R62">
        <v>-0.26</v>
      </c>
      <c r="T62">
        <v>5200</v>
      </c>
      <c r="U62">
        <v>20.786000000000001</v>
      </c>
      <c r="V62">
        <v>174.14</v>
      </c>
      <c r="W62">
        <v>154.54599999999999</v>
      </c>
      <c r="X62">
        <v>101.89</v>
      </c>
      <c r="Y62">
        <v>232.35300000000001</v>
      </c>
      <c r="Z62">
        <v>-89.801000000000002</v>
      </c>
      <c r="AA62">
        <v>0.90200000000000002</v>
      </c>
      <c r="AC62">
        <v>5200</v>
      </c>
      <c r="AD62">
        <v>21.899000000000001</v>
      </c>
      <c r="AE62">
        <v>221.435</v>
      </c>
      <c r="AF62">
        <v>201.51400000000001</v>
      </c>
      <c r="AG62">
        <v>103.592</v>
      </c>
      <c r="AH62">
        <v>258.11</v>
      </c>
      <c r="AI62">
        <v>-94.588999999999999</v>
      </c>
      <c r="AJ62">
        <v>0.95</v>
      </c>
      <c r="AL62">
        <v>5200</v>
      </c>
      <c r="AM62">
        <v>38.845999999999997</v>
      </c>
      <c r="AN62">
        <v>277.62700000000001</v>
      </c>
      <c r="AO62">
        <v>244.358</v>
      </c>
      <c r="AP62">
        <v>173.001</v>
      </c>
      <c r="AQ62">
        <v>29.795999999999999</v>
      </c>
      <c r="AR62">
        <v>-31.728999999999999</v>
      </c>
      <c r="AS62">
        <v>0.31900000000000001</v>
      </c>
      <c r="AU62">
        <v>5200</v>
      </c>
      <c r="AV62">
        <v>42.956000000000003</v>
      </c>
      <c r="AW62">
        <v>307.21699999999998</v>
      </c>
      <c r="AX62">
        <v>270.81099999999998</v>
      </c>
      <c r="AY62">
        <v>189.31100000000001</v>
      </c>
      <c r="AZ62">
        <v>0</v>
      </c>
      <c r="BA62">
        <v>0</v>
      </c>
      <c r="BB62">
        <v>0</v>
      </c>
      <c r="BD62">
        <v>5200</v>
      </c>
      <c r="BE62">
        <v>41.116999999999997</v>
      </c>
      <c r="BF62">
        <v>224.374</v>
      </c>
      <c r="BG62">
        <v>190.70599999999999</v>
      </c>
      <c r="BH62">
        <v>175.071</v>
      </c>
      <c r="BI62">
        <v>0</v>
      </c>
      <c r="BJ62">
        <v>0</v>
      </c>
      <c r="BK62">
        <v>0</v>
      </c>
      <c r="BM62">
        <v>5200</v>
      </c>
      <c r="BN62">
        <v>37.981000000000002</v>
      </c>
      <c r="BO62">
        <v>287.529</v>
      </c>
      <c r="BP62">
        <v>253.80699999999999</v>
      </c>
      <c r="BQ62">
        <v>175.352</v>
      </c>
      <c r="BR62">
        <v>0</v>
      </c>
      <c r="BS62">
        <v>0</v>
      </c>
      <c r="BT62">
        <v>0</v>
      </c>
    </row>
    <row r="63" spans="2:72" x14ac:dyDescent="0.25">
      <c r="B63">
        <v>5600</v>
      </c>
      <c r="C63">
        <v>60.1</v>
      </c>
      <c r="D63">
        <v>322.76400000000001</v>
      </c>
      <c r="E63">
        <v>273.09199999999998</v>
      </c>
      <c r="F63">
        <v>278.161</v>
      </c>
      <c r="G63">
        <v>-258.59500000000003</v>
      </c>
      <c r="H63">
        <v>76.777000000000001</v>
      </c>
      <c r="I63">
        <v>-0.71599999999999997</v>
      </c>
      <c r="K63">
        <v>5300</v>
      </c>
      <c r="L63">
        <v>38.289000000000001</v>
      </c>
      <c r="M63">
        <v>309.72800000000001</v>
      </c>
      <c r="N63">
        <v>275.34899999999999</v>
      </c>
      <c r="O63">
        <v>182.20400000000001</v>
      </c>
      <c r="P63">
        <v>86.111999999999995</v>
      </c>
      <c r="Q63">
        <v>24.724</v>
      </c>
      <c r="R63">
        <v>-0.24399999999999999</v>
      </c>
      <c r="T63">
        <v>5300</v>
      </c>
      <c r="U63">
        <v>20.786000000000001</v>
      </c>
      <c r="V63">
        <v>174.536</v>
      </c>
      <c r="W63">
        <v>154.91900000000001</v>
      </c>
      <c r="X63">
        <v>103.96899999999999</v>
      </c>
      <c r="Y63">
        <v>232.37299999999999</v>
      </c>
      <c r="Z63">
        <v>-95.997</v>
      </c>
      <c r="AA63">
        <v>0.94599999999999995</v>
      </c>
      <c r="AC63">
        <v>5300</v>
      </c>
      <c r="AD63">
        <v>21.949000000000002</v>
      </c>
      <c r="AE63">
        <v>221.85300000000001</v>
      </c>
      <c r="AF63">
        <v>201.893</v>
      </c>
      <c r="AG63">
        <v>105.78400000000001</v>
      </c>
      <c r="AH63">
        <v>258.14999999999998</v>
      </c>
      <c r="AI63">
        <v>-101.371</v>
      </c>
      <c r="AJ63">
        <v>0.999</v>
      </c>
      <c r="AL63">
        <v>5300</v>
      </c>
      <c r="AM63">
        <v>38.918999999999997</v>
      </c>
      <c r="AN63">
        <v>278.36799999999999</v>
      </c>
      <c r="AO63">
        <v>244.99299999999999</v>
      </c>
      <c r="AP63">
        <v>176.88900000000001</v>
      </c>
      <c r="AQ63">
        <v>29.472999999999999</v>
      </c>
      <c r="AR63">
        <v>-32.908999999999999</v>
      </c>
      <c r="AS63">
        <v>0.32400000000000001</v>
      </c>
      <c r="AU63">
        <v>5300</v>
      </c>
      <c r="AV63">
        <v>43.104999999999997</v>
      </c>
      <c r="AW63">
        <v>308.03699999999998</v>
      </c>
      <c r="AX63">
        <v>271.50599999999997</v>
      </c>
      <c r="AY63">
        <v>193.614</v>
      </c>
      <c r="AZ63">
        <v>0</v>
      </c>
      <c r="BA63">
        <v>0</v>
      </c>
      <c r="BB63">
        <v>0</v>
      </c>
      <c r="BD63">
        <v>5300</v>
      </c>
      <c r="BE63">
        <v>41.252000000000002</v>
      </c>
      <c r="BF63">
        <v>225.15799999999999</v>
      </c>
      <c r="BG63">
        <v>191.34899999999999</v>
      </c>
      <c r="BH63">
        <v>179.19</v>
      </c>
      <c r="BI63">
        <v>0</v>
      </c>
      <c r="BJ63">
        <v>0</v>
      </c>
      <c r="BK63">
        <v>0</v>
      </c>
      <c r="BM63">
        <v>5300</v>
      </c>
      <c r="BN63">
        <v>38.012999999999998</v>
      </c>
      <c r="BO63">
        <v>288.25299999999999</v>
      </c>
      <c r="BP63">
        <v>254.45099999999999</v>
      </c>
      <c r="BQ63">
        <v>179.15199999999999</v>
      </c>
      <c r="BR63">
        <v>0</v>
      </c>
      <c r="BS63">
        <v>0</v>
      </c>
      <c r="BT63">
        <v>0</v>
      </c>
    </row>
    <row r="64" spans="2:72" x14ac:dyDescent="0.25">
      <c r="B64">
        <v>5700</v>
      </c>
      <c r="C64">
        <v>60.218000000000004</v>
      </c>
      <c r="D64">
        <v>323.82799999999997</v>
      </c>
      <c r="E64">
        <v>273.97300000000001</v>
      </c>
      <c r="F64">
        <v>284.17700000000002</v>
      </c>
      <c r="G64">
        <v>-258.93</v>
      </c>
      <c r="H64">
        <v>82.769000000000005</v>
      </c>
      <c r="I64">
        <v>-0.75800000000000001</v>
      </c>
      <c r="K64">
        <v>5400</v>
      </c>
      <c r="L64">
        <v>38.316000000000003</v>
      </c>
      <c r="M64">
        <v>310.44299999999998</v>
      </c>
      <c r="N64">
        <v>275.99299999999999</v>
      </c>
      <c r="O64">
        <v>186.03399999999999</v>
      </c>
      <c r="P64">
        <v>85.881</v>
      </c>
      <c r="Q64">
        <v>23.568000000000001</v>
      </c>
      <c r="R64">
        <v>-0.22800000000000001</v>
      </c>
      <c r="T64">
        <v>5400</v>
      </c>
      <c r="U64">
        <v>20.786000000000001</v>
      </c>
      <c r="V64">
        <v>174.92400000000001</v>
      </c>
      <c r="W64">
        <v>155.286</v>
      </c>
      <c r="X64">
        <v>106.047</v>
      </c>
      <c r="Y64">
        <v>232.386</v>
      </c>
      <c r="Z64">
        <v>-102.19199999999999</v>
      </c>
      <c r="AA64">
        <v>0.98899999999999999</v>
      </c>
      <c r="AC64">
        <v>5400</v>
      </c>
      <c r="AD64">
        <v>21.997</v>
      </c>
      <c r="AE64">
        <v>222.26400000000001</v>
      </c>
      <c r="AF64">
        <v>202.267</v>
      </c>
      <c r="AG64">
        <v>107.982</v>
      </c>
      <c r="AH64">
        <v>258.18900000000002</v>
      </c>
      <c r="AI64">
        <v>-108.155</v>
      </c>
      <c r="AJ64">
        <v>1.046</v>
      </c>
      <c r="AL64">
        <v>5400</v>
      </c>
      <c r="AM64">
        <v>38.991</v>
      </c>
      <c r="AN64">
        <v>279.096</v>
      </c>
      <c r="AO64">
        <v>245.61699999999999</v>
      </c>
      <c r="AP64">
        <v>180.78399999999999</v>
      </c>
      <c r="AQ64">
        <v>29.143999999999998</v>
      </c>
      <c r="AR64">
        <v>-34.082999999999998</v>
      </c>
      <c r="AS64">
        <v>0.33</v>
      </c>
      <c r="AU64">
        <v>5400</v>
      </c>
      <c r="AV64">
        <v>43.262</v>
      </c>
      <c r="AW64">
        <v>308.84399999999999</v>
      </c>
      <c r="AX64">
        <v>272.19</v>
      </c>
      <c r="AY64">
        <v>197.93299999999999</v>
      </c>
      <c r="AZ64">
        <v>0</v>
      </c>
      <c r="BA64">
        <v>0</v>
      </c>
      <c r="BB64">
        <v>0</v>
      </c>
      <c r="BD64">
        <v>5400</v>
      </c>
      <c r="BE64">
        <v>41.378999999999998</v>
      </c>
      <c r="BF64">
        <v>225.93100000000001</v>
      </c>
      <c r="BG64">
        <v>191.982</v>
      </c>
      <c r="BH64">
        <v>183.322</v>
      </c>
      <c r="BI64">
        <v>0</v>
      </c>
      <c r="BJ64">
        <v>0</v>
      </c>
      <c r="BK64">
        <v>0</v>
      </c>
      <c r="BM64">
        <v>5400</v>
      </c>
      <c r="BN64">
        <v>38.045999999999999</v>
      </c>
      <c r="BO64">
        <v>288.964</v>
      </c>
      <c r="BP64">
        <v>255.083</v>
      </c>
      <c r="BQ64">
        <v>182.95500000000001</v>
      </c>
      <c r="BR64">
        <v>0</v>
      </c>
      <c r="BS64">
        <v>0</v>
      </c>
      <c r="BT64">
        <v>0</v>
      </c>
    </row>
    <row r="65" spans="2:72" x14ac:dyDescent="0.25">
      <c r="B65">
        <v>5800</v>
      </c>
      <c r="C65">
        <v>60.335000000000001</v>
      </c>
      <c r="D65">
        <v>324.87700000000001</v>
      </c>
      <c r="E65">
        <v>274.84100000000001</v>
      </c>
      <c r="F65">
        <v>290.20400000000001</v>
      </c>
      <c r="G65">
        <v>-259.27199999999999</v>
      </c>
      <c r="H65">
        <v>88.766999999999996</v>
      </c>
      <c r="I65">
        <v>-0.79900000000000004</v>
      </c>
      <c r="K65">
        <v>5500</v>
      </c>
      <c r="L65">
        <v>38.341999999999999</v>
      </c>
      <c r="M65">
        <v>311.14699999999999</v>
      </c>
      <c r="N65">
        <v>276.625</v>
      </c>
      <c r="O65">
        <v>189.86699999999999</v>
      </c>
      <c r="P65">
        <v>85.644000000000005</v>
      </c>
      <c r="Q65">
        <v>22.416</v>
      </c>
      <c r="R65">
        <v>-0.21299999999999999</v>
      </c>
      <c r="T65">
        <v>5500</v>
      </c>
      <c r="U65">
        <v>20.786000000000001</v>
      </c>
      <c r="V65">
        <v>175.30600000000001</v>
      </c>
      <c r="W65">
        <v>155.64599999999999</v>
      </c>
      <c r="X65">
        <v>108.126</v>
      </c>
      <c r="Y65">
        <v>232.392</v>
      </c>
      <c r="Z65">
        <v>-108.389</v>
      </c>
      <c r="AA65">
        <v>1.0289999999999999</v>
      </c>
      <c r="AC65">
        <v>5500</v>
      </c>
      <c r="AD65">
        <v>22.045000000000002</v>
      </c>
      <c r="AE65">
        <v>222.66800000000001</v>
      </c>
      <c r="AF65">
        <v>202.63399999999999</v>
      </c>
      <c r="AG65">
        <v>110.184</v>
      </c>
      <c r="AH65">
        <v>258.22399999999999</v>
      </c>
      <c r="AI65">
        <v>-114.94</v>
      </c>
      <c r="AJ65">
        <v>1.0920000000000001</v>
      </c>
      <c r="AL65">
        <v>5500</v>
      </c>
      <c r="AM65">
        <v>39.061999999999998</v>
      </c>
      <c r="AN65">
        <v>279.81200000000001</v>
      </c>
      <c r="AO65">
        <v>246.233</v>
      </c>
      <c r="AP65">
        <v>184.68700000000001</v>
      </c>
      <c r="AQ65">
        <v>28.806999999999999</v>
      </c>
      <c r="AR65">
        <v>-35.250999999999998</v>
      </c>
      <c r="AS65">
        <v>0.33500000000000002</v>
      </c>
      <c r="AU65">
        <v>5500</v>
      </c>
      <c r="AV65">
        <v>43.426000000000002</v>
      </c>
      <c r="AW65">
        <v>309.63900000000001</v>
      </c>
      <c r="AX65">
        <v>272.86399999999998</v>
      </c>
      <c r="AY65">
        <v>202.267</v>
      </c>
      <c r="AZ65">
        <v>0</v>
      </c>
      <c r="BA65">
        <v>0</v>
      </c>
      <c r="BB65">
        <v>0</v>
      </c>
      <c r="BD65">
        <v>5500</v>
      </c>
      <c r="BE65">
        <v>41.497999999999998</v>
      </c>
      <c r="BF65">
        <v>226.691</v>
      </c>
      <c r="BG65">
        <v>192.60599999999999</v>
      </c>
      <c r="BH65">
        <v>187.465</v>
      </c>
      <c r="BI65">
        <v>0</v>
      </c>
      <c r="BJ65">
        <v>0</v>
      </c>
      <c r="BK65">
        <v>0</v>
      </c>
      <c r="BM65">
        <v>5500</v>
      </c>
      <c r="BN65">
        <v>38.08</v>
      </c>
      <c r="BO65">
        <v>289.66199999999998</v>
      </c>
      <c r="BP65">
        <v>255.70500000000001</v>
      </c>
      <c r="BQ65">
        <v>186.761</v>
      </c>
      <c r="BR65">
        <v>0</v>
      </c>
      <c r="BS65">
        <v>0</v>
      </c>
      <c r="BT65">
        <v>0</v>
      </c>
    </row>
    <row r="66" spans="2:72" x14ac:dyDescent="0.25">
      <c r="B66">
        <v>5900</v>
      </c>
      <c r="C66">
        <v>60.453000000000003</v>
      </c>
      <c r="D66">
        <v>325.90899999999999</v>
      </c>
      <c r="E66">
        <v>275.69799999999998</v>
      </c>
      <c r="F66">
        <v>296.24400000000003</v>
      </c>
      <c r="G66">
        <v>-259.62099999999998</v>
      </c>
      <c r="H66">
        <v>94.77</v>
      </c>
      <c r="I66">
        <v>-0.83899999999999997</v>
      </c>
      <c r="K66">
        <v>5600</v>
      </c>
      <c r="L66">
        <v>38.366999999999997</v>
      </c>
      <c r="M66">
        <v>311.83800000000002</v>
      </c>
      <c r="N66">
        <v>277.24799999999999</v>
      </c>
      <c r="O66">
        <v>193.703</v>
      </c>
      <c r="P66">
        <v>85.399000000000001</v>
      </c>
      <c r="Q66">
        <v>21.268999999999998</v>
      </c>
      <c r="R66">
        <v>-0.19800000000000001</v>
      </c>
      <c r="T66">
        <v>5600</v>
      </c>
      <c r="U66">
        <v>20.786000000000001</v>
      </c>
      <c r="V66">
        <v>175.68</v>
      </c>
      <c r="W66">
        <v>156.001</v>
      </c>
      <c r="X66">
        <v>110.20399999999999</v>
      </c>
      <c r="Y66">
        <v>232.393</v>
      </c>
      <c r="Z66">
        <v>-114.584</v>
      </c>
      <c r="AA66">
        <v>1.069</v>
      </c>
      <c r="AC66">
        <v>5600</v>
      </c>
      <c r="AD66">
        <v>22.093</v>
      </c>
      <c r="AE66">
        <v>223.065</v>
      </c>
      <c r="AF66">
        <v>202.995</v>
      </c>
      <c r="AG66">
        <v>112.39100000000001</v>
      </c>
      <c r="AH66">
        <v>258.255</v>
      </c>
      <c r="AI66">
        <v>-121.72499999999999</v>
      </c>
      <c r="AJ66">
        <v>1.135</v>
      </c>
      <c r="AL66">
        <v>5600</v>
      </c>
      <c r="AM66">
        <v>39.134</v>
      </c>
      <c r="AN66">
        <v>280.517</v>
      </c>
      <c r="AO66">
        <v>246.839</v>
      </c>
      <c r="AP66">
        <v>188.59700000000001</v>
      </c>
      <c r="AQ66">
        <v>28.463999999999999</v>
      </c>
      <c r="AR66">
        <v>-36.411999999999999</v>
      </c>
      <c r="AS66">
        <v>0.34</v>
      </c>
      <c r="AU66">
        <v>5600</v>
      </c>
      <c r="AV66">
        <v>43.598999999999997</v>
      </c>
      <c r="AW66">
        <v>310.42399999999998</v>
      </c>
      <c r="AX66">
        <v>273.52699999999999</v>
      </c>
      <c r="AY66">
        <v>206.61799999999999</v>
      </c>
      <c r="AZ66">
        <v>0</v>
      </c>
      <c r="BA66">
        <v>0</v>
      </c>
      <c r="BB66">
        <v>0</v>
      </c>
      <c r="BD66">
        <v>5600</v>
      </c>
      <c r="BE66">
        <v>41.609000000000002</v>
      </c>
      <c r="BF66">
        <v>227.44</v>
      </c>
      <c r="BG66">
        <v>193.22200000000001</v>
      </c>
      <c r="BH66">
        <v>191.62100000000001</v>
      </c>
      <c r="BI66">
        <v>0</v>
      </c>
      <c r="BJ66">
        <v>0</v>
      </c>
      <c r="BK66">
        <v>0</v>
      </c>
      <c r="BM66">
        <v>5600</v>
      </c>
      <c r="BN66">
        <v>38.116</v>
      </c>
      <c r="BO66">
        <v>290.34800000000001</v>
      </c>
      <c r="BP66">
        <v>256.31799999999998</v>
      </c>
      <c r="BQ66">
        <v>190.571</v>
      </c>
      <c r="BR66">
        <v>0</v>
      </c>
      <c r="BS66">
        <v>0</v>
      </c>
      <c r="BT66">
        <v>0</v>
      </c>
    </row>
    <row r="67" spans="2:72" x14ac:dyDescent="0.25">
      <c r="B67">
        <v>6000</v>
      </c>
      <c r="C67">
        <v>60.570999999999998</v>
      </c>
      <c r="D67">
        <v>326.92599999999999</v>
      </c>
      <c r="E67">
        <v>276.54399999999998</v>
      </c>
      <c r="F67">
        <v>302.29500000000002</v>
      </c>
      <c r="G67">
        <v>-259.97699999999998</v>
      </c>
      <c r="H67">
        <v>100.78</v>
      </c>
      <c r="I67">
        <v>-0.877</v>
      </c>
      <c r="K67">
        <v>5700</v>
      </c>
      <c r="L67">
        <v>38.393000000000001</v>
      </c>
      <c r="M67">
        <v>312.517</v>
      </c>
      <c r="N67">
        <v>277.86099999999999</v>
      </c>
      <c r="O67">
        <v>197.541</v>
      </c>
      <c r="P67">
        <v>85.146000000000001</v>
      </c>
      <c r="Q67">
        <v>20.125</v>
      </c>
      <c r="R67">
        <v>-0.184</v>
      </c>
      <c r="T67">
        <v>5700</v>
      </c>
      <c r="U67">
        <v>20.786000000000001</v>
      </c>
      <c r="V67">
        <v>176.048</v>
      </c>
      <c r="W67">
        <v>156.34899999999999</v>
      </c>
      <c r="X67">
        <v>112.283</v>
      </c>
      <c r="Y67">
        <v>232.38900000000001</v>
      </c>
      <c r="Z67">
        <v>-120.78</v>
      </c>
      <c r="AA67">
        <v>1.107</v>
      </c>
      <c r="AC67">
        <v>5700</v>
      </c>
      <c r="AD67">
        <v>22.138999999999999</v>
      </c>
      <c r="AE67">
        <v>223.45699999999999</v>
      </c>
      <c r="AF67">
        <v>203.351</v>
      </c>
      <c r="AG67">
        <v>114.602</v>
      </c>
      <c r="AH67">
        <v>258.28199999999998</v>
      </c>
      <c r="AI67">
        <v>-128.51</v>
      </c>
      <c r="AJ67">
        <v>1.1779999999999999</v>
      </c>
      <c r="AL67">
        <v>5700</v>
      </c>
      <c r="AM67">
        <v>39.206000000000003</v>
      </c>
      <c r="AN67">
        <v>281.20999999999998</v>
      </c>
      <c r="AO67">
        <v>247.43600000000001</v>
      </c>
      <c r="AP67">
        <v>192.51400000000001</v>
      </c>
      <c r="AQ67">
        <v>28.113</v>
      </c>
      <c r="AR67">
        <v>-37.567999999999998</v>
      </c>
      <c r="AS67">
        <v>0.34399999999999997</v>
      </c>
      <c r="AU67">
        <v>5700</v>
      </c>
      <c r="AV67">
        <v>43.780999999999999</v>
      </c>
      <c r="AW67">
        <v>311.197</v>
      </c>
      <c r="AX67">
        <v>274.18099999999998</v>
      </c>
      <c r="AY67">
        <v>210.98699999999999</v>
      </c>
      <c r="AZ67">
        <v>0</v>
      </c>
      <c r="BA67">
        <v>0</v>
      </c>
      <c r="BB67">
        <v>0</v>
      </c>
      <c r="BD67">
        <v>5700</v>
      </c>
      <c r="BE67">
        <v>41.712000000000003</v>
      </c>
      <c r="BF67">
        <v>228.17699999999999</v>
      </c>
      <c r="BG67">
        <v>193.82900000000001</v>
      </c>
      <c r="BH67">
        <v>195.78700000000001</v>
      </c>
      <c r="BI67">
        <v>0</v>
      </c>
      <c r="BJ67">
        <v>0</v>
      </c>
      <c r="BK67">
        <v>0</v>
      </c>
      <c r="BM67">
        <v>5700</v>
      </c>
      <c r="BN67">
        <v>38.154000000000003</v>
      </c>
      <c r="BO67">
        <v>291.02300000000002</v>
      </c>
      <c r="BP67">
        <v>256.92099999999999</v>
      </c>
      <c r="BQ67">
        <v>194.38399999999999</v>
      </c>
      <c r="BR67">
        <v>0</v>
      </c>
      <c r="BS67">
        <v>0</v>
      </c>
      <c r="BT67">
        <v>0</v>
      </c>
    </row>
    <row r="68" spans="2:72" x14ac:dyDescent="0.25">
      <c r="K68">
        <v>5800</v>
      </c>
      <c r="L68">
        <v>38.417999999999999</v>
      </c>
      <c r="M68">
        <v>313.185</v>
      </c>
      <c r="N68">
        <v>278.464</v>
      </c>
      <c r="O68">
        <v>201.381</v>
      </c>
      <c r="P68">
        <v>84.884</v>
      </c>
      <c r="Q68">
        <v>18.986999999999998</v>
      </c>
      <c r="R68">
        <v>-0.17100000000000001</v>
      </c>
      <c r="T68">
        <v>5800</v>
      </c>
      <c r="U68">
        <v>20.786000000000001</v>
      </c>
      <c r="V68">
        <v>176.41</v>
      </c>
      <c r="W68">
        <v>156.69200000000001</v>
      </c>
      <c r="X68">
        <v>114.36199999999999</v>
      </c>
      <c r="Y68">
        <v>232.37899999999999</v>
      </c>
      <c r="Z68">
        <v>-126.976</v>
      </c>
      <c r="AA68">
        <v>1.1439999999999999</v>
      </c>
      <c r="AC68">
        <v>5800</v>
      </c>
      <c r="AD68">
        <v>22.184000000000001</v>
      </c>
      <c r="AE68">
        <v>223.84200000000001</v>
      </c>
      <c r="AF68">
        <v>203.70099999999999</v>
      </c>
      <c r="AG68">
        <v>116.818</v>
      </c>
      <c r="AH68">
        <v>258.30399999999997</v>
      </c>
      <c r="AI68">
        <v>-135.29599999999999</v>
      </c>
      <c r="AJ68">
        <v>1.218</v>
      </c>
      <c r="AL68">
        <v>5800</v>
      </c>
      <c r="AM68">
        <v>39.277999999999999</v>
      </c>
      <c r="AN68">
        <v>281.892</v>
      </c>
      <c r="AO68">
        <v>248.024</v>
      </c>
      <c r="AP68">
        <v>196.43799999999999</v>
      </c>
      <c r="AQ68">
        <v>27.756</v>
      </c>
      <c r="AR68">
        <v>-38.716000000000001</v>
      </c>
      <c r="AS68">
        <v>0.34899999999999998</v>
      </c>
      <c r="AU68">
        <v>5800</v>
      </c>
      <c r="AV68">
        <v>43.972999999999999</v>
      </c>
      <c r="AW68">
        <v>311.95999999999998</v>
      </c>
      <c r="AX68">
        <v>274.82600000000002</v>
      </c>
      <c r="AY68">
        <v>215.375</v>
      </c>
      <c r="AZ68">
        <v>0</v>
      </c>
      <c r="BA68">
        <v>0</v>
      </c>
      <c r="BB68">
        <v>0</v>
      </c>
      <c r="BD68">
        <v>5800</v>
      </c>
      <c r="BE68">
        <v>41.805999999999997</v>
      </c>
      <c r="BF68">
        <v>228.90299999999999</v>
      </c>
      <c r="BG68">
        <v>194.42699999999999</v>
      </c>
      <c r="BH68">
        <v>199.96299999999999</v>
      </c>
      <c r="BI68">
        <v>0</v>
      </c>
      <c r="BJ68">
        <v>0</v>
      </c>
      <c r="BK68">
        <v>0</v>
      </c>
      <c r="BM68">
        <v>5800</v>
      </c>
      <c r="BN68">
        <v>38.192999999999998</v>
      </c>
      <c r="BO68">
        <v>291.68700000000001</v>
      </c>
      <c r="BP68">
        <v>257.51499999999999</v>
      </c>
      <c r="BQ68">
        <v>198.20099999999999</v>
      </c>
      <c r="BR68">
        <v>0</v>
      </c>
      <c r="BS68">
        <v>0</v>
      </c>
      <c r="BT68">
        <v>0</v>
      </c>
    </row>
    <row r="69" spans="2:72" x14ac:dyDescent="0.25">
      <c r="K69">
        <v>5900</v>
      </c>
      <c r="L69">
        <v>38.442999999999998</v>
      </c>
      <c r="M69">
        <v>313.84199999999998</v>
      </c>
      <c r="N69">
        <v>279.05799999999999</v>
      </c>
      <c r="O69">
        <v>205.22399999999999</v>
      </c>
      <c r="P69">
        <v>84.613</v>
      </c>
      <c r="Q69">
        <v>17.853000000000002</v>
      </c>
      <c r="R69">
        <v>-0.158</v>
      </c>
      <c r="T69">
        <v>5900</v>
      </c>
      <c r="U69">
        <v>20.786000000000001</v>
      </c>
      <c r="V69">
        <v>176.76499999999999</v>
      </c>
      <c r="W69">
        <v>157.029</v>
      </c>
      <c r="X69">
        <v>116.44</v>
      </c>
      <c r="Y69">
        <v>232.36500000000001</v>
      </c>
      <c r="Z69">
        <v>-133.172</v>
      </c>
      <c r="AA69">
        <v>1.179</v>
      </c>
      <c r="AC69">
        <v>5900</v>
      </c>
      <c r="AD69">
        <v>22.228999999999999</v>
      </c>
      <c r="AE69">
        <v>224.22200000000001</v>
      </c>
      <c r="AF69">
        <v>204.04599999999999</v>
      </c>
      <c r="AG69">
        <v>119.039</v>
      </c>
      <c r="AH69">
        <v>258.32100000000003</v>
      </c>
      <c r="AI69">
        <v>-142.083</v>
      </c>
      <c r="AJ69">
        <v>1.258</v>
      </c>
      <c r="AL69">
        <v>5900</v>
      </c>
      <c r="AM69">
        <v>39.35</v>
      </c>
      <c r="AN69">
        <v>282.56400000000002</v>
      </c>
      <c r="AO69">
        <v>248.60400000000001</v>
      </c>
      <c r="AP69">
        <v>200.369</v>
      </c>
      <c r="AQ69">
        <v>27.390999999999998</v>
      </c>
      <c r="AR69">
        <v>-39.86</v>
      </c>
      <c r="AS69">
        <v>0.35299999999999998</v>
      </c>
      <c r="AU69">
        <v>5900</v>
      </c>
      <c r="AV69">
        <v>44.174999999999997</v>
      </c>
      <c r="AW69">
        <v>312.71300000000002</v>
      </c>
      <c r="AX69">
        <v>275.46199999999999</v>
      </c>
      <c r="AY69">
        <v>219.78200000000001</v>
      </c>
      <c r="AZ69">
        <v>0</v>
      </c>
      <c r="BA69">
        <v>0</v>
      </c>
      <c r="BB69">
        <v>0</v>
      </c>
      <c r="BD69">
        <v>5900</v>
      </c>
      <c r="BE69">
        <v>41.89</v>
      </c>
      <c r="BF69">
        <v>229.619</v>
      </c>
      <c r="BG69">
        <v>195.017</v>
      </c>
      <c r="BH69">
        <v>204.148</v>
      </c>
      <c r="BI69">
        <v>0</v>
      </c>
      <c r="BJ69">
        <v>0</v>
      </c>
      <c r="BK69">
        <v>0</v>
      </c>
      <c r="BM69">
        <v>5900</v>
      </c>
      <c r="BN69">
        <v>38.234000000000002</v>
      </c>
      <c r="BO69">
        <v>292.34100000000001</v>
      </c>
      <c r="BP69">
        <v>258.09899999999999</v>
      </c>
      <c r="BQ69">
        <v>202.023</v>
      </c>
      <c r="BR69">
        <v>0</v>
      </c>
      <c r="BS69">
        <v>0</v>
      </c>
      <c r="BT69">
        <v>0</v>
      </c>
    </row>
    <row r="70" spans="2:72" x14ac:dyDescent="0.25">
      <c r="K70">
        <v>6000</v>
      </c>
      <c r="L70">
        <v>38.468000000000004</v>
      </c>
      <c r="M70">
        <v>314.488</v>
      </c>
      <c r="N70">
        <v>279.64299999999997</v>
      </c>
      <c r="O70">
        <v>209.07</v>
      </c>
      <c r="P70">
        <v>84.331000000000003</v>
      </c>
      <c r="Q70">
        <v>16.724</v>
      </c>
      <c r="R70">
        <v>-0.14599999999999999</v>
      </c>
      <c r="T70">
        <v>6000</v>
      </c>
      <c r="U70">
        <v>20.786000000000001</v>
      </c>
      <c r="V70">
        <v>177.114</v>
      </c>
      <c r="W70">
        <v>157.36099999999999</v>
      </c>
      <c r="X70">
        <v>118.51900000000001</v>
      </c>
      <c r="Y70">
        <v>232.34800000000001</v>
      </c>
      <c r="Z70">
        <v>-139.36799999999999</v>
      </c>
      <c r="AA70">
        <v>1.2130000000000001</v>
      </c>
      <c r="AC70">
        <v>6000</v>
      </c>
      <c r="AD70">
        <v>22.273</v>
      </c>
      <c r="AE70">
        <v>224.596</v>
      </c>
      <c r="AF70">
        <v>204.38499999999999</v>
      </c>
      <c r="AG70">
        <v>121.264</v>
      </c>
      <c r="AH70">
        <v>258.33199999999999</v>
      </c>
      <c r="AI70">
        <v>-148.869</v>
      </c>
      <c r="AJ70">
        <v>1.296</v>
      </c>
      <c r="AL70">
        <v>6000</v>
      </c>
      <c r="AM70">
        <v>39.423000000000002</v>
      </c>
      <c r="AN70">
        <v>283.226</v>
      </c>
      <c r="AO70">
        <v>249.17500000000001</v>
      </c>
      <c r="AP70">
        <v>204.30799999999999</v>
      </c>
      <c r="AQ70">
        <v>27.018999999999998</v>
      </c>
      <c r="AR70">
        <v>-40.997</v>
      </c>
      <c r="AS70">
        <v>0.35699999999999998</v>
      </c>
      <c r="AU70">
        <v>6000</v>
      </c>
      <c r="AV70">
        <v>44.387</v>
      </c>
      <c r="AW70">
        <v>313.45699999999999</v>
      </c>
      <c r="AX70">
        <v>276.089</v>
      </c>
      <c r="AY70">
        <v>224.21</v>
      </c>
      <c r="AZ70">
        <v>0</v>
      </c>
      <c r="BA70">
        <v>0</v>
      </c>
      <c r="BB70">
        <v>0</v>
      </c>
      <c r="BD70">
        <v>6000</v>
      </c>
      <c r="BE70">
        <v>41.965000000000003</v>
      </c>
      <c r="BF70">
        <v>230.32300000000001</v>
      </c>
      <c r="BG70">
        <v>195.6</v>
      </c>
      <c r="BH70">
        <v>208.34100000000001</v>
      </c>
      <c r="BI70">
        <v>0</v>
      </c>
      <c r="BJ70">
        <v>0</v>
      </c>
      <c r="BK70">
        <v>0</v>
      </c>
      <c r="BM70">
        <v>6000</v>
      </c>
      <c r="BN70">
        <v>38.276000000000003</v>
      </c>
      <c r="BO70">
        <v>292.98399999999998</v>
      </c>
      <c r="BP70">
        <v>258.67500000000001</v>
      </c>
      <c r="BQ70">
        <v>205.84800000000001</v>
      </c>
      <c r="BR70">
        <v>0</v>
      </c>
      <c r="BS70">
        <v>0</v>
      </c>
      <c r="BT7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Launchpad</vt:lpstr>
      <vt:lpstr>Energy Equation</vt:lpstr>
      <vt:lpstr>Concentrations</vt:lpstr>
      <vt:lpstr>Cp,Enthalpy,Entropy Calculation</vt:lpstr>
      <vt:lpstr>Enthalpy Calculations</vt:lpstr>
      <vt:lpstr>Kp Calculations</vt:lpstr>
      <vt:lpstr>Results</vt:lpstr>
      <vt:lpstr>JANAF Tables</vt:lpstr>
      <vt:lpstr>Plot for Pressure variation</vt:lpstr>
      <vt:lpstr>'JANAF Tables'!H</vt:lpstr>
      <vt:lpstr>'JANAF Tables'!H2_1</vt:lpstr>
      <vt:lpstr>'JANAF Tables'!H20_</vt:lpstr>
      <vt:lpstr>'JANAF Tables'!N2_</vt:lpstr>
      <vt:lpstr>'JANAF Tables'!NO</vt:lpstr>
      <vt:lpstr>'JANAF Tables'!O_1</vt:lpstr>
      <vt:lpstr>'JANAF Tables'!O2_</vt:lpstr>
      <vt:lpstr>'JANAF Tables'!OH</vt:lpstr>
      <vt:lpstr>Concentrations!Print_Area</vt:lpstr>
      <vt:lpstr>Launchpad!Print_Area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Perto</dc:creator>
  <cp:lastModifiedBy>Perto</cp:lastModifiedBy>
  <cp:lastPrinted>2015-11-18T06:37:52Z</cp:lastPrinted>
  <dcterms:created xsi:type="dcterms:W3CDTF">2015-10-29T02:56:55Z</dcterms:created>
  <dcterms:modified xsi:type="dcterms:W3CDTF">2015-11-21T16:50:12Z</dcterms:modified>
</cp:coreProperties>
</file>